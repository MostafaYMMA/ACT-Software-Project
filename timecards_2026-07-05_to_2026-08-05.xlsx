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Invoi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USD]\ * #,##0.00_);_([$USD]\ * \(#,##0.00\);_([$USD]\ * &quot;-&quot;??_);_(@_)"/>
  </numFmts>
  <fonts count="2">
    <font>
      <name val="Calibri"/>
      <family val="2"/>
      <color theme="1"/>
      <sz val="11"/>
      <scheme val="minor"/>
    </font>
    <font>
      <b val="1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4" displayName="Table4" ref="B4:P28" headerRowCount="1">
  <autoFilter ref="B4:P28"/>
  <tableColumns count="15">
    <tableColumn id="2" name="Date"/>
    <tableColumn id="3" name="Invoice No"/>
    <tableColumn id="4" name="Project Name"/>
    <tableColumn id="5" name="Period"/>
    <tableColumn id="6" name="Task Name"/>
    <tableColumn id="7" name="Project Mgr"/>
    <tableColumn id="8" name="PO"/>
    <tableColumn id="9" name="SOW"/>
    <tableColumn id="10" name="Line"/>
    <tableColumn id="11" name="Type"/>
    <tableColumn id="12" name="Project Number"/>
    <tableColumn id="13" name="Consultant"/>
    <tableColumn id="14" name="Qty"/>
    <tableColumn id="15" name="Sales Price"/>
    <tableColumn id="16" name="Total Amount"/>
  </tableColumns>
  <tableStyleInfo name="TableStyleMedium2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3"/>
  <sheetViews>
    <sheetView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30" customWidth="1" min="4" max="4"/>
    <col width="16" customWidth="1" min="5" max="5"/>
    <col width="30" customWidth="1" min="6" max="6"/>
    <col width="13" customWidth="1" min="7" max="7"/>
    <col width="14" customWidth="1" min="8" max="8"/>
    <col width="8" customWidth="1" min="9" max="9"/>
    <col width="6" customWidth="1" min="10" max="10"/>
    <col width="8" customWidth="1" min="11" max="11"/>
    <col width="14" customWidth="1" min="12" max="12"/>
    <col width="14" customWidth="1" min="13" max="13"/>
    <col width="7" customWidth="1" min="14" max="14"/>
    <col width="13" customWidth="1" min="15" max="15"/>
    <col width="15" customWidth="1" min="16" max="16"/>
  </cols>
  <sheetData>
    <row r="2">
      <c r="B2" t="inlineStr">
        <is>
          <t>Advanced Computer Technology (Middle East) LABOR and EXPENSE Overview per Period</t>
        </is>
      </c>
    </row>
    <row r="4">
      <c r="B4" s="1" t="inlineStr">
        <is>
          <t>Date</t>
        </is>
      </c>
      <c r="C4" s="1" t="inlineStr">
        <is>
          <t>Invoice No</t>
        </is>
      </c>
      <c r="D4" s="1" t="inlineStr">
        <is>
          <t>Project Name</t>
        </is>
      </c>
      <c r="E4" s="1" t="inlineStr">
        <is>
          <t>Period</t>
        </is>
      </c>
      <c r="F4" s="1" t="inlineStr">
        <is>
          <t>Task Name</t>
        </is>
      </c>
      <c r="G4" s="1" t="inlineStr">
        <is>
          <t>Project Mgr</t>
        </is>
      </c>
      <c r="H4" s="1" t="inlineStr">
        <is>
          <t>PO</t>
        </is>
      </c>
      <c r="I4" s="1" t="inlineStr">
        <is>
          <t>SOW</t>
        </is>
      </c>
      <c r="J4" s="1" t="inlineStr">
        <is>
          <t>Line</t>
        </is>
      </c>
      <c r="K4" s="1" t="inlineStr">
        <is>
          <t>Type</t>
        </is>
      </c>
      <c r="L4" s="1" t="inlineStr">
        <is>
          <t>Project Number</t>
        </is>
      </c>
      <c r="M4" s="1" t="inlineStr">
        <is>
          <t>Consultant</t>
        </is>
      </c>
      <c r="N4" s="1" t="inlineStr">
        <is>
          <t>Qty</t>
        </is>
      </c>
      <c r="O4" s="1" t="inlineStr">
        <is>
          <t>Sales Price</t>
        </is>
      </c>
      <c r="P4" s="1" t="inlineStr">
        <is>
          <t>Total Amount</t>
        </is>
      </c>
    </row>
    <row r="5">
      <c r="B5" t="inlineStr">
        <is>
          <t>Monday, 20 Jul</t>
        </is>
      </c>
      <c r="D5" t="inlineStr">
        <is>
          <t>HLGIU &gt;47847392 Holiday Inn Hull Marina Hull</t>
        </is>
      </c>
      <c r="E5" t="inlineStr">
        <is>
          <t>7/18/26 - 7/24/26</t>
        </is>
      </c>
      <c r="F5" t="inlineStr">
        <is>
          <t>1.Opr IHG Deploy Pkg-Prem - B111772</t>
        </is>
      </c>
      <c r="H5" t="inlineStr">
        <is>
          <t>AE110007829</t>
        </is>
      </c>
      <c r="J5" t="n">
        <v>1</v>
      </c>
      <c r="K5" t="inlineStr">
        <is>
          <t>LABOR</t>
        </is>
      </c>
      <c r="L5" t="inlineStr">
        <is>
          <t>400421482</t>
        </is>
      </c>
      <c r="M5" t="inlineStr">
        <is>
          <t>shadinosama580@outlook.com</t>
        </is>
      </c>
      <c r="N5" t="n">
        <v>8</v>
      </c>
      <c r="O5" s="2" t="n">
        <v>0</v>
      </c>
      <c r="P5" s="2">
        <f>N5*O5</f>
        <v/>
      </c>
    </row>
    <row r="6">
      <c r="J6" t="n">
        <v>2</v>
      </c>
      <c r="K6" t="inlineStr">
        <is>
          <t>Expense</t>
        </is>
      </c>
      <c r="O6" s="2" t="n">
        <v>0</v>
      </c>
      <c r="P6" s="2">
        <f>N6*O6</f>
        <v/>
      </c>
    </row>
    <row r="7">
      <c r="B7" t="inlineStr">
        <is>
          <t>Tuesday, 21 Jul</t>
        </is>
      </c>
      <c r="D7" t="inlineStr">
        <is>
          <t>HLGIU &gt;47847392 Holiday Inn Hull Marina Hull</t>
        </is>
      </c>
      <c r="E7" t="inlineStr">
        <is>
          <t>7/18/26 - 7/24/26</t>
        </is>
      </c>
      <c r="F7" t="inlineStr">
        <is>
          <t>1.Opr IHG Deploy Pkg-Prem - B111772</t>
        </is>
      </c>
      <c r="H7" t="inlineStr">
        <is>
          <t>AE110007829</t>
        </is>
      </c>
      <c r="J7" t="n">
        <v>1</v>
      </c>
      <c r="K7" t="inlineStr">
        <is>
          <t>LABOR</t>
        </is>
      </c>
      <c r="L7" t="inlineStr">
        <is>
          <t>400421482</t>
        </is>
      </c>
      <c r="M7" t="inlineStr">
        <is>
          <t>shadinosama580@outlook.com</t>
        </is>
      </c>
      <c r="N7" t="n">
        <v>8</v>
      </c>
      <c r="O7" s="2" t="n">
        <v>0</v>
      </c>
      <c r="P7" s="2">
        <f>N7*O7</f>
        <v/>
      </c>
    </row>
    <row r="8">
      <c r="J8" t="n">
        <v>2</v>
      </c>
      <c r="K8" t="inlineStr">
        <is>
          <t>Expense</t>
        </is>
      </c>
      <c r="O8" s="2" t="n">
        <v>0</v>
      </c>
      <c r="P8" s="2">
        <f>N8*O8</f>
        <v/>
      </c>
    </row>
    <row r="9">
      <c r="B9" t="inlineStr">
        <is>
          <t>Wednesday, 22 Jul</t>
        </is>
      </c>
      <c r="D9" t="inlineStr">
        <is>
          <t>HLGIU &gt;47847392 Holiday Inn Hull Marina Hull</t>
        </is>
      </c>
      <c r="E9" t="inlineStr">
        <is>
          <t>7/18/26 - 7/24/26</t>
        </is>
      </c>
      <c r="F9" t="inlineStr">
        <is>
          <t>1.Opr IHG Deploy Pkg-Prem - B111772</t>
        </is>
      </c>
      <c r="H9" t="inlineStr">
        <is>
          <t>AE110007829</t>
        </is>
      </c>
      <c r="J9" t="n">
        <v>1</v>
      </c>
      <c r="K9" t="inlineStr">
        <is>
          <t>LABOR</t>
        </is>
      </c>
      <c r="L9" t="inlineStr">
        <is>
          <t>400421482</t>
        </is>
      </c>
      <c r="M9" t="inlineStr">
        <is>
          <t>shadinosama580@outlook.com</t>
        </is>
      </c>
      <c r="N9" t="n">
        <v>8</v>
      </c>
      <c r="O9" s="2" t="n">
        <v>0</v>
      </c>
      <c r="P9" s="2">
        <f>N9*O9</f>
        <v/>
      </c>
    </row>
    <row r="10">
      <c r="J10" t="n">
        <v>2</v>
      </c>
      <c r="K10" t="inlineStr">
        <is>
          <t>Expense</t>
        </is>
      </c>
      <c r="O10" s="2" t="n">
        <v>0</v>
      </c>
      <c r="P10" s="2">
        <f>N10*O10</f>
        <v/>
      </c>
    </row>
    <row r="11">
      <c r="B11" t="inlineStr">
        <is>
          <t>Friday, 24 Jul</t>
        </is>
      </c>
      <c r="D11" t="inlineStr">
        <is>
          <t>HLGIU &gt;47758160 voco Fareham - Solent</t>
        </is>
      </c>
      <c r="E11" t="inlineStr">
        <is>
          <t>7/18/26 - 7/24/26</t>
        </is>
      </c>
      <c r="F11" t="inlineStr">
        <is>
          <t>1.Opr IHG Deploy Pkg-Prem - B111772</t>
        </is>
      </c>
      <c r="H11" t="inlineStr">
        <is>
          <t>AE110007829</t>
        </is>
      </c>
      <c r="J11" t="n">
        <v>1</v>
      </c>
      <c r="K11" t="inlineStr">
        <is>
          <t>LABOR</t>
        </is>
      </c>
      <c r="L11" t="inlineStr">
        <is>
          <t>400421476</t>
        </is>
      </c>
      <c r="M11" t="inlineStr">
        <is>
          <t>shadinosama580@outlook.com</t>
        </is>
      </c>
      <c r="N11" t="n">
        <v>8</v>
      </c>
      <c r="O11" s="2" t="n">
        <v>0</v>
      </c>
      <c r="P11" s="2">
        <f>N11*O11</f>
        <v/>
      </c>
    </row>
    <row r="12">
      <c r="J12" t="n">
        <v>2</v>
      </c>
      <c r="K12" t="inlineStr">
        <is>
          <t>Expense</t>
        </is>
      </c>
      <c r="O12" s="2" t="n">
        <v>0</v>
      </c>
      <c r="P12" s="2">
        <f>N12*O12</f>
        <v/>
      </c>
    </row>
    <row r="13">
      <c r="B13" t="inlineStr">
        <is>
          <t>Monday, 27 Jul</t>
        </is>
      </c>
      <c r="D13" t="inlineStr">
        <is>
          <t>HLGIU &gt;47758160 voco Fareham - Solent</t>
        </is>
      </c>
      <c r="E13" t="inlineStr">
        <is>
          <t>7/25/26 - 7/31/26</t>
        </is>
      </c>
      <c r="F13" t="inlineStr">
        <is>
          <t>1.Opr IHG Deploy Pkg-Prem - B111772</t>
        </is>
      </c>
      <c r="H13" t="inlineStr">
        <is>
          <t>AE110007829</t>
        </is>
      </c>
      <c r="J13" t="n">
        <v>1</v>
      </c>
      <c r="K13" t="inlineStr">
        <is>
          <t>LABOR</t>
        </is>
      </c>
      <c r="L13" t="inlineStr">
        <is>
          <t>400421476</t>
        </is>
      </c>
      <c r="M13" t="inlineStr">
        <is>
          <t>shadinosama580@outlook.com</t>
        </is>
      </c>
      <c r="N13" t="n">
        <v>8</v>
      </c>
      <c r="O13" s="2" t="n">
        <v>0</v>
      </c>
      <c r="P13" s="2">
        <f>N13*O13</f>
        <v/>
      </c>
    </row>
    <row r="14">
      <c r="J14" t="n">
        <v>2</v>
      </c>
      <c r="K14" t="inlineStr">
        <is>
          <t>Expense</t>
        </is>
      </c>
      <c r="O14" s="2" t="n">
        <v>0</v>
      </c>
      <c r="P14" s="2">
        <f>N14*O14</f>
        <v/>
      </c>
    </row>
    <row r="15">
      <c r="B15" t="inlineStr">
        <is>
          <t>Tuesday, 28 Jul</t>
        </is>
      </c>
      <c r="D15" t="inlineStr">
        <is>
          <t>HLGIU &gt;47758160 voco Fareham - Solent</t>
        </is>
      </c>
      <c r="E15" t="inlineStr">
        <is>
          <t>7/25/26 - 7/31/26</t>
        </is>
      </c>
      <c r="F15" t="inlineStr">
        <is>
          <t>1.Opr IHG Deploy Pkg-Prem - B111772</t>
        </is>
      </c>
      <c r="H15" t="inlineStr">
        <is>
          <t>AE110007829</t>
        </is>
      </c>
      <c r="J15" t="n">
        <v>1</v>
      </c>
      <c r="K15" t="inlineStr">
        <is>
          <t>LABOR</t>
        </is>
      </c>
      <c r="L15" t="inlineStr">
        <is>
          <t>400421476</t>
        </is>
      </c>
      <c r="M15" t="inlineStr">
        <is>
          <t>shadinosama580@outlook.com</t>
        </is>
      </c>
      <c r="N15" t="n">
        <v>8</v>
      </c>
      <c r="O15" s="2" t="n">
        <v>0</v>
      </c>
      <c r="P15" s="2">
        <f>N15*O15</f>
        <v/>
      </c>
    </row>
    <row r="16">
      <c r="J16" t="n">
        <v>2</v>
      </c>
      <c r="K16" t="inlineStr">
        <is>
          <t>Expense</t>
        </is>
      </c>
      <c r="O16" s="2" t="n">
        <v>0</v>
      </c>
      <c r="P16" s="2">
        <f>N16*O16</f>
        <v/>
      </c>
    </row>
    <row r="17">
      <c r="B17" t="inlineStr">
        <is>
          <t>Wednesday, 29 Jul</t>
        </is>
      </c>
      <c r="D17" t="inlineStr">
        <is>
          <t>HLGIU &gt;47758160 voco Fareham - Solent</t>
        </is>
      </c>
      <c r="E17" t="inlineStr">
        <is>
          <t>7/25/26 - 7/31/26</t>
        </is>
      </c>
      <c r="F17" t="inlineStr">
        <is>
          <t>1.Opr IHG Deploy Pkg-Prem - B111772</t>
        </is>
      </c>
      <c r="H17" t="inlineStr">
        <is>
          <t>AE110007829</t>
        </is>
      </c>
      <c r="J17" t="n">
        <v>1</v>
      </c>
      <c r="K17" t="inlineStr">
        <is>
          <t>LABOR</t>
        </is>
      </c>
      <c r="L17" t="inlineStr">
        <is>
          <t>400421476</t>
        </is>
      </c>
      <c r="M17" t="inlineStr">
        <is>
          <t>shadinosama580@outlook.com</t>
        </is>
      </c>
      <c r="N17" t="n">
        <v>8</v>
      </c>
      <c r="O17" s="2" t="n">
        <v>0</v>
      </c>
      <c r="P17" s="2">
        <f>N17*O17</f>
        <v/>
      </c>
    </row>
    <row r="18">
      <c r="J18" t="n">
        <v>2</v>
      </c>
      <c r="K18" t="inlineStr">
        <is>
          <t>Expense</t>
        </is>
      </c>
      <c r="O18" s="2" t="n">
        <v>0</v>
      </c>
      <c r="P18" s="2">
        <f>N18*O18</f>
        <v/>
      </c>
    </row>
    <row r="19">
      <c r="B19" t="inlineStr">
        <is>
          <t>Monday, 27 Jul</t>
        </is>
      </c>
      <c r="D19" t="inlineStr">
        <is>
          <t>HLGIU_NA_Marriott OPERA Cloud deployment</t>
        </is>
      </c>
      <c r="E19" t="inlineStr">
        <is>
          <t>7/25/26 - 7/31/26</t>
        </is>
      </c>
      <c r="F19" t="inlineStr">
        <is>
          <t>Patterns - Patterns</t>
        </is>
      </c>
      <c r="H19" t="inlineStr">
        <is>
          <t>AE110007829</t>
        </is>
      </c>
      <c r="J19" t="n">
        <v>1</v>
      </c>
      <c r="K19" t="inlineStr">
        <is>
          <t>LABOR</t>
        </is>
      </c>
      <c r="L19" t="inlineStr">
        <is>
          <t>400335038</t>
        </is>
      </c>
      <c r="M19" t="inlineStr">
        <is>
          <t>shadin7osama@gmail.com</t>
        </is>
      </c>
      <c r="N19" t="n">
        <v>8</v>
      </c>
      <c r="O19" s="2" t="n">
        <v>0</v>
      </c>
      <c r="P19" s="2">
        <f>N19*O19</f>
        <v/>
      </c>
    </row>
    <row r="20">
      <c r="J20" t="n">
        <v>2</v>
      </c>
      <c r="K20" t="inlineStr">
        <is>
          <t>Expense</t>
        </is>
      </c>
      <c r="O20" s="2" t="n">
        <v>0</v>
      </c>
      <c r="P20" s="2">
        <f>N20*O20</f>
        <v/>
      </c>
    </row>
    <row r="21">
      <c r="B21" t="inlineStr">
        <is>
          <t>Tuesday, 28 Jul</t>
        </is>
      </c>
      <c r="D21" t="inlineStr">
        <is>
          <t>HLGIU_NA_Marriott OPERA Cloud deployment</t>
        </is>
      </c>
      <c r="E21" t="inlineStr">
        <is>
          <t>7/25/26 - 7/31/26</t>
        </is>
      </c>
      <c r="F21" t="inlineStr">
        <is>
          <t>Patterns - Patterns</t>
        </is>
      </c>
      <c r="H21" t="inlineStr">
        <is>
          <t>AE110007829</t>
        </is>
      </c>
      <c r="J21" t="n">
        <v>1</v>
      </c>
      <c r="K21" t="inlineStr">
        <is>
          <t>LABOR</t>
        </is>
      </c>
      <c r="L21" t="inlineStr">
        <is>
          <t>400335038</t>
        </is>
      </c>
      <c r="M21" t="inlineStr">
        <is>
          <t>shadin7osama@gmail.com</t>
        </is>
      </c>
      <c r="N21" t="n">
        <v>8</v>
      </c>
      <c r="O21" s="2" t="n">
        <v>0</v>
      </c>
      <c r="P21" s="2">
        <f>N21*O21</f>
        <v/>
      </c>
    </row>
    <row r="22">
      <c r="J22" t="n">
        <v>2</v>
      </c>
      <c r="K22" t="inlineStr">
        <is>
          <t>Expense</t>
        </is>
      </c>
      <c r="O22" s="2" t="n">
        <v>0</v>
      </c>
      <c r="P22" s="2">
        <f>N22*O22</f>
        <v/>
      </c>
    </row>
    <row r="23">
      <c r="B23" t="inlineStr">
        <is>
          <t>Wednesday, 29 Jul</t>
        </is>
      </c>
      <c r="D23" t="inlineStr">
        <is>
          <t>HLGIU_NA_Marriott OPERA Cloud deployment</t>
        </is>
      </c>
      <c r="E23" t="inlineStr">
        <is>
          <t>7/25/26 - 7/31/26</t>
        </is>
      </c>
      <c r="F23" t="inlineStr">
        <is>
          <t>Patterns - Patterns</t>
        </is>
      </c>
      <c r="H23" t="inlineStr">
        <is>
          <t>AE110007829</t>
        </is>
      </c>
      <c r="J23" t="n">
        <v>1</v>
      </c>
      <c r="K23" t="inlineStr">
        <is>
          <t>LABOR</t>
        </is>
      </c>
      <c r="L23" t="inlineStr">
        <is>
          <t>400335038</t>
        </is>
      </c>
      <c r="M23" t="inlineStr">
        <is>
          <t>shadin7osama@gmail.com</t>
        </is>
      </c>
      <c r="N23" t="n">
        <v>8</v>
      </c>
      <c r="O23" s="2" t="n">
        <v>0</v>
      </c>
      <c r="P23" s="2">
        <f>N23*O23</f>
        <v/>
      </c>
    </row>
    <row r="24">
      <c r="J24" t="n">
        <v>2</v>
      </c>
      <c r="K24" t="inlineStr">
        <is>
          <t>Expense</t>
        </is>
      </c>
      <c r="O24" s="2" t="n">
        <v>0</v>
      </c>
      <c r="P24" s="2">
        <f>N24*O24</f>
        <v/>
      </c>
    </row>
    <row r="25">
      <c r="B25" t="inlineStr">
        <is>
          <t>Thursday, 30 Jul</t>
        </is>
      </c>
      <c r="D25" t="inlineStr">
        <is>
          <t>HLGIU_NA_Marriott OPERA Cloud deployment</t>
        </is>
      </c>
      <c r="E25" t="inlineStr">
        <is>
          <t>7/25/26 - 7/31/26</t>
        </is>
      </c>
      <c r="F25" t="inlineStr">
        <is>
          <t>Patterns - Patterns</t>
        </is>
      </c>
      <c r="H25" t="inlineStr">
        <is>
          <t>AE110007829</t>
        </is>
      </c>
      <c r="J25" t="n">
        <v>1</v>
      </c>
      <c r="K25" t="inlineStr">
        <is>
          <t>LABOR</t>
        </is>
      </c>
      <c r="L25" t="inlineStr">
        <is>
          <t>400335038</t>
        </is>
      </c>
      <c r="M25" t="inlineStr">
        <is>
          <t>shadin7osama@gmail.com</t>
        </is>
      </c>
      <c r="N25" t="n">
        <v>8</v>
      </c>
      <c r="O25" s="2" t="n">
        <v>0</v>
      </c>
      <c r="P25" s="2">
        <f>N25*O25</f>
        <v/>
      </c>
    </row>
    <row r="26">
      <c r="J26" t="n">
        <v>2</v>
      </c>
      <c r="K26" t="inlineStr">
        <is>
          <t>Expense</t>
        </is>
      </c>
      <c r="O26" s="2" t="n">
        <v>0</v>
      </c>
      <c r="P26" s="2">
        <f>N26*O26</f>
        <v/>
      </c>
    </row>
    <row r="27">
      <c r="B27" t="inlineStr">
        <is>
          <t>Friday, 31 Jul</t>
        </is>
      </c>
      <c r="D27" t="inlineStr">
        <is>
          <t>HLGIU_NA_Marriott OPERA Cloud deployment</t>
        </is>
      </c>
      <c r="E27" t="inlineStr">
        <is>
          <t>7/25/26 - 7/31/26</t>
        </is>
      </c>
      <c r="F27" t="inlineStr">
        <is>
          <t>Patterns - Patterns</t>
        </is>
      </c>
      <c r="H27" t="inlineStr">
        <is>
          <t>AE110007829</t>
        </is>
      </c>
      <c r="J27" t="n">
        <v>1</v>
      </c>
      <c r="K27" t="inlineStr">
        <is>
          <t>LABOR</t>
        </is>
      </c>
      <c r="L27" t="inlineStr">
        <is>
          <t>400335038</t>
        </is>
      </c>
      <c r="M27" t="inlineStr">
        <is>
          <t>shadin7osama@gmail.com</t>
        </is>
      </c>
      <c r="N27" t="n">
        <v>8</v>
      </c>
      <c r="O27" s="2" t="n">
        <v>0</v>
      </c>
      <c r="P27" s="2">
        <f>N27*O27</f>
        <v/>
      </c>
    </row>
    <row r="28">
      <c r="J28" t="n">
        <v>2</v>
      </c>
      <c r="K28" t="inlineStr">
        <is>
          <t>Expense</t>
        </is>
      </c>
      <c r="O28" s="2" t="n">
        <v>0</v>
      </c>
      <c r="P28" s="2">
        <f>N28*O28</f>
        <v/>
      </c>
    </row>
    <row r="29">
      <c r="L29" t="inlineStr">
        <is>
          <t>Total LABOR</t>
        </is>
      </c>
      <c r="N29">
        <f>SUBTOTAL(109,Table4[Qty])</f>
        <v/>
      </c>
      <c r="P29" s="2">
        <f>SUMIF(Table4[Type],"LABOR",Table4[Total Amount])</f>
        <v/>
      </c>
    </row>
    <row r="30">
      <c r="L30" t="inlineStr">
        <is>
          <t>Total EXPENSE</t>
        </is>
      </c>
      <c r="P30" s="2">
        <f>SUMIF(Table4[Type],"Expense",Table4[Total Amount])</f>
        <v/>
      </c>
    </row>
    <row r="31">
      <c r="L31" t="inlineStr">
        <is>
          <t xml:space="preserve">Invoice Total </t>
        </is>
      </c>
      <c r="P31" s="2">
        <f>P29+P30</f>
        <v/>
      </c>
    </row>
    <row r="32">
      <c r="M32" t="inlineStr">
        <is>
          <t>VAT</t>
        </is>
      </c>
      <c r="P32" s="2">
        <f>P31*0.05</f>
        <v/>
      </c>
    </row>
    <row r="33">
      <c r="M33" t="inlineStr">
        <is>
          <t>Total with VAT</t>
        </is>
      </c>
      <c r="P33" s="2">
        <f>P31+P32</f>
        <v/>
      </c>
    </row>
  </sheetData>
  <mergeCells count="1">
    <mergeCell ref="B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2026-08-05T10:03:06Z</dcterms:created>
  <dcterms:modified xmlns:dcterms="http://purl.org/dc/terms/" xmlns:xsi="http://www.w3.org/2001/XMLSchema-instance" xsi:type="dcterms:W3CDTF">2026-08-05T10:03:06Z</dcterms:modified>
</cp:coreProperties>
</file>