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Invoi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USD]\ * #,##0.00_);_([$USD]\ * \(#,##0.00\);_([$USD]\ * &quot;-&quot;??_);_(@_)"/>
  </numFmts>
  <fonts count="2">
    <font>
      <name val="Calibri"/>
      <family val="2"/>
      <color theme="1"/>
      <sz val="11"/>
      <scheme val="minor"/>
    </font>
    <font>
      <b val="1"/>
      <color rgb="00000000"/>
      <sz val="13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4" displayName="Table4" ref="B4:P128" headerRowCount="1">
  <autoFilter ref="B4:P128"/>
  <tableColumns count="15">
    <tableColumn id="2" name="Date"/>
    <tableColumn id="3" name="Invoice No"/>
    <tableColumn id="4" name="Project Name"/>
    <tableColumn id="5" name="Period"/>
    <tableColumn id="6" name="Task Name"/>
    <tableColumn id="7" name="Project Mgr"/>
    <tableColumn id="8" name="PO"/>
    <tableColumn id="9" name="SOW"/>
    <tableColumn id="10" name="Line"/>
    <tableColumn id="11" name="Type"/>
    <tableColumn id="12" name="Project Number"/>
    <tableColumn id="13" name="Consultant"/>
    <tableColumn id="14" name="Qty"/>
    <tableColumn id="15" name="Sales Price"/>
    <tableColumn id="16" name="Total Amount"/>
  </tableColumns>
  <tableStyleInfo name="TableStyleMedium2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33"/>
  <sheetViews>
    <sheetView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30" customWidth="1" min="4" max="4"/>
    <col width="16" customWidth="1" min="5" max="5"/>
    <col width="30" customWidth="1" min="6" max="6"/>
    <col width="13" customWidth="1" min="7" max="7"/>
    <col width="14" customWidth="1" min="8" max="8"/>
    <col width="8" customWidth="1" min="9" max="9"/>
    <col width="6" customWidth="1" min="10" max="10"/>
    <col width="8" customWidth="1" min="11" max="11"/>
    <col width="14" customWidth="1" min="12" max="12"/>
    <col width="14" customWidth="1" min="13" max="13"/>
    <col width="7" customWidth="1" min="14" max="14"/>
    <col width="13" customWidth="1" min="15" max="15"/>
    <col width="15" customWidth="1" min="16" max="16"/>
  </cols>
  <sheetData>
    <row r="2">
      <c r="B2" t="inlineStr">
        <is>
          <t>Advanced Computer Technology (Middle East) LABOR and EXPENSE Overview per Period</t>
        </is>
      </c>
    </row>
    <row r="4">
      <c r="B4" s="1" t="inlineStr">
        <is>
          <t>Date</t>
        </is>
      </c>
      <c r="C4" s="1" t="inlineStr">
        <is>
          <t>Invoice No</t>
        </is>
      </c>
      <c r="D4" s="1" t="inlineStr">
        <is>
          <t>Project Name</t>
        </is>
      </c>
      <c r="E4" s="1" t="inlineStr">
        <is>
          <t>Period</t>
        </is>
      </c>
      <c r="F4" s="1" t="inlineStr">
        <is>
          <t>Task Name</t>
        </is>
      </c>
      <c r="G4" s="1" t="inlineStr">
        <is>
          <t>Project Mgr</t>
        </is>
      </c>
      <c r="H4" s="1" t="inlineStr">
        <is>
          <t>PO</t>
        </is>
      </c>
      <c r="I4" s="1" t="inlineStr">
        <is>
          <t>SOW</t>
        </is>
      </c>
      <c r="J4" s="1" t="inlineStr">
        <is>
          <t>Line</t>
        </is>
      </c>
      <c r="K4" s="1" t="inlineStr">
        <is>
          <t>Type</t>
        </is>
      </c>
      <c r="L4" s="1" t="inlineStr">
        <is>
          <t>Project Number</t>
        </is>
      </c>
      <c r="M4" s="1" t="inlineStr">
        <is>
          <t>Consultant</t>
        </is>
      </c>
      <c r="N4" s="1" t="inlineStr">
        <is>
          <t>Qty</t>
        </is>
      </c>
      <c r="O4" s="1" t="inlineStr">
        <is>
          <t>Sales Price</t>
        </is>
      </c>
      <c r="P4" s="1" t="inlineStr">
        <is>
          <t>Total Amount</t>
        </is>
      </c>
    </row>
    <row r="5">
      <c r="B5" t="inlineStr">
        <is>
          <t>Monday, 29 Jun</t>
        </is>
      </c>
      <c r="D5" t="inlineStr">
        <is>
          <t>HLGIU_NA_Marriott OPERA Cloud deployment</t>
        </is>
      </c>
      <c r="E5" t="inlineStr">
        <is>
          <t>6/27/26 - 7/3/26</t>
        </is>
      </c>
      <c r="F5" t="inlineStr">
        <is>
          <t>Reporting - Reporting</t>
        </is>
      </c>
      <c r="H5" t="inlineStr">
        <is>
          <t>AE110007829</t>
        </is>
      </c>
      <c r="J5" t="n">
        <v>1</v>
      </c>
      <c r="K5" t="inlineStr">
        <is>
          <t>LABOR</t>
        </is>
      </c>
      <c r="L5" t="inlineStr">
        <is>
          <t>400335038</t>
        </is>
      </c>
      <c r="N5" t="n">
        <v>9</v>
      </c>
      <c r="O5" s="2" t="n">
        <v>0</v>
      </c>
      <c r="P5" s="2">
        <f>N5*O5</f>
        <v/>
      </c>
    </row>
    <row r="6">
      <c r="J6" t="n">
        <v>2</v>
      </c>
      <c r="K6" t="inlineStr">
        <is>
          <t>Expense</t>
        </is>
      </c>
      <c r="O6" s="2" t="n">
        <v>0</v>
      </c>
      <c r="P6" s="2">
        <f>N6*O6</f>
        <v/>
      </c>
    </row>
    <row r="7">
      <c r="B7" t="inlineStr">
        <is>
          <t>Tuesday, 30 Jun</t>
        </is>
      </c>
      <c r="D7" t="inlineStr">
        <is>
          <t>HLGIU_NA_Marriott OPERA Cloud deployment</t>
        </is>
      </c>
      <c r="E7" t="inlineStr">
        <is>
          <t>6/27/26 - 7/3/26</t>
        </is>
      </c>
      <c r="F7" t="inlineStr">
        <is>
          <t>Reporting - Reporting</t>
        </is>
      </c>
      <c r="H7" t="inlineStr">
        <is>
          <t>AE110007829</t>
        </is>
      </c>
      <c r="J7" t="n">
        <v>1</v>
      </c>
      <c r="K7" t="inlineStr">
        <is>
          <t>LABOR</t>
        </is>
      </c>
      <c r="L7" t="inlineStr">
        <is>
          <t>400335038</t>
        </is>
      </c>
      <c r="N7" t="n">
        <v>8</v>
      </c>
      <c r="O7" s="2" t="n">
        <v>0</v>
      </c>
      <c r="P7" s="2">
        <f>N7*O7</f>
        <v/>
      </c>
    </row>
    <row r="8">
      <c r="J8" t="n">
        <v>2</v>
      </c>
      <c r="K8" t="inlineStr">
        <is>
          <t>Expense</t>
        </is>
      </c>
      <c r="O8" s="2" t="n">
        <v>0</v>
      </c>
      <c r="P8" s="2">
        <f>N8*O8</f>
        <v/>
      </c>
    </row>
    <row r="9">
      <c r="B9" t="inlineStr">
        <is>
          <t>Wednesday, 01 Jul</t>
        </is>
      </c>
      <c r="D9" t="inlineStr">
        <is>
          <t>HLGIU_NA_Marriott OPERA Cloud deployment</t>
        </is>
      </c>
      <c r="E9" t="inlineStr">
        <is>
          <t>6/27/26 - 7/3/26</t>
        </is>
      </c>
      <c r="F9" t="inlineStr">
        <is>
          <t>Reporting - Reporting</t>
        </is>
      </c>
      <c r="H9" t="inlineStr">
        <is>
          <t>AE110007829</t>
        </is>
      </c>
      <c r="J9" t="n">
        <v>1</v>
      </c>
      <c r="K9" t="inlineStr">
        <is>
          <t>LABOR</t>
        </is>
      </c>
      <c r="L9" t="inlineStr">
        <is>
          <t>400335038</t>
        </is>
      </c>
      <c r="N9" t="n">
        <v>8</v>
      </c>
      <c r="O9" s="2" t="n">
        <v>0</v>
      </c>
      <c r="P9" s="2">
        <f>N9*O9</f>
        <v/>
      </c>
    </row>
    <row r="10">
      <c r="J10" t="n">
        <v>2</v>
      </c>
      <c r="K10" t="inlineStr">
        <is>
          <t>Expense</t>
        </is>
      </c>
      <c r="O10" s="2" t="n">
        <v>0</v>
      </c>
      <c r="P10" s="2">
        <f>N10*O10</f>
        <v/>
      </c>
    </row>
    <row r="11">
      <c r="B11" t="inlineStr">
        <is>
          <t>Friday, 03 Jul</t>
        </is>
      </c>
      <c r="D11" t="inlineStr">
        <is>
          <t>HLGIU_NA_Marriott OPERA Cloud deployment</t>
        </is>
      </c>
      <c r="E11" t="inlineStr">
        <is>
          <t>6/27/26 - 7/3/26</t>
        </is>
      </c>
      <c r="F11" t="inlineStr">
        <is>
          <t>Reporting - Reporting</t>
        </is>
      </c>
      <c r="H11" t="inlineStr">
        <is>
          <t>AE110007829</t>
        </is>
      </c>
      <c r="J11" t="n">
        <v>1</v>
      </c>
      <c r="K11" t="inlineStr">
        <is>
          <t>LABOR</t>
        </is>
      </c>
      <c r="L11" t="inlineStr">
        <is>
          <t>400335038</t>
        </is>
      </c>
      <c r="N11" t="n">
        <v>8</v>
      </c>
      <c r="O11" s="2" t="n">
        <v>0</v>
      </c>
      <c r="P11" s="2">
        <f>N11*O11</f>
        <v/>
      </c>
    </row>
    <row r="12">
      <c r="J12" t="n">
        <v>2</v>
      </c>
      <c r="K12" t="inlineStr">
        <is>
          <t>Expense</t>
        </is>
      </c>
      <c r="O12" s="2" t="n">
        <v>0</v>
      </c>
      <c r="P12" s="2">
        <f>N12*O12</f>
        <v/>
      </c>
    </row>
    <row r="13">
      <c r="B13" t="inlineStr">
        <is>
          <t>Monday, 29 Jun</t>
        </is>
      </c>
      <c r="D13" t="inlineStr">
        <is>
          <t>HLGIU_NA_Marriott OPERA Cloud deployment</t>
        </is>
      </c>
      <c r="E13" t="inlineStr">
        <is>
          <t>6/27/26 - 7/3/26</t>
        </is>
      </c>
      <c r="F13" t="inlineStr">
        <is>
          <t>Reporting - Reporting</t>
        </is>
      </c>
      <c r="H13" t="inlineStr">
        <is>
          <t>AE110007829</t>
        </is>
      </c>
      <c r="J13" t="n">
        <v>1</v>
      </c>
      <c r="K13" t="inlineStr">
        <is>
          <t>LABOR</t>
        </is>
      </c>
      <c r="L13" t="inlineStr">
        <is>
          <t>400335039</t>
        </is>
      </c>
      <c r="N13" t="n">
        <v>8</v>
      </c>
      <c r="O13" s="2" t="n">
        <v>0</v>
      </c>
      <c r="P13" s="2">
        <f>N13*O13</f>
        <v/>
      </c>
    </row>
    <row r="14">
      <c r="J14" t="n">
        <v>2</v>
      </c>
      <c r="K14" t="inlineStr">
        <is>
          <t>Expense</t>
        </is>
      </c>
      <c r="O14" s="2" t="n">
        <v>0</v>
      </c>
      <c r="P14" s="2">
        <f>N14*O14</f>
        <v/>
      </c>
    </row>
    <row r="15">
      <c r="B15" t="inlineStr">
        <is>
          <t>Tuesday, 30 Jun</t>
        </is>
      </c>
      <c r="D15" t="inlineStr">
        <is>
          <t>HLGIU_NA_Marriott OPERA Cloud deployment</t>
        </is>
      </c>
      <c r="E15" t="inlineStr">
        <is>
          <t>6/27/26 - 7/3/26</t>
        </is>
      </c>
      <c r="F15" t="inlineStr">
        <is>
          <t>Reporting - Reporting</t>
        </is>
      </c>
      <c r="H15" t="inlineStr">
        <is>
          <t>AE110007829</t>
        </is>
      </c>
      <c r="J15" t="n">
        <v>1</v>
      </c>
      <c r="K15" t="inlineStr">
        <is>
          <t>LABOR</t>
        </is>
      </c>
      <c r="L15" t="inlineStr">
        <is>
          <t>400335039</t>
        </is>
      </c>
      <c r="N15" t="n">
        <v>8</v>
      </c>
      <c r="O15" s="2" t="n">
        <v>0</v>
      </c>
      <c r="P15" s="2">
        <f>N15*O15</f>
        <v/>
      </c>
    </row>
    <row r="16">
      <c r="J16" t="n">
        <v>2</v>
      </c>
      <c r="K16" t="inlineStr">
        <is>
          <t>Expense</t>
        </is>
      </c>
      <c r="O16" s="2" t="n">
        <v>0</v>
      </c>
      <c r="P16" s="2">
        <f>N16*O16</f>
        <v/>
      </c>
    </row>
    <row r="17">
      <c r="B17" t="inlineStr">
        <is>
          <t>Wednesday, 01 Jul</t>
        </is>
      </c>
      <c r="D17" t="inlineStr">
        <is>
          <t>HLGIU_NA_Marriott OPERA Cloud deployment</t>
        </is>
      </c>
      <c r="E17" t="inlineStr">
        <is>
          <t>6/27/26 - 7/3/26</t>
        </is>
      </c>
      <c r="F17" t="inlineStr">
        <is>
          <t>Reporting - Reporting</t>
        </is>
      </c>
      <c r="H17" t="inlineStr">
        <is>
          <t>AE110007829</t>
        </is>
      </c>
      <c r="J17" t="n">
        <v>1</v>
      </c>
      <c r="K17" t="inlineStr">
        <is>
          <t>LABOR</t>
        </is>
      </c>
      <c r="L17" t="inlineStr">
        <is>
          <t>400335039</t>
        </is>
      </c>
      <c r="N17" t="n">
        <v>8</v>
      </c>
      <c r="O17" s="2" t="n">
        <v>0</v>
      </c>
      <c r="P17" s="2">
        <f>N17*O17</f>
        <v/>
      </c>
    </row>
    <row r="18">
      <c r="J18" t="n">
        <v>2</v>
      </c>
      <c r="K18" t="inlineStr">
        <is>
          <t>Expense</t>
        </is>
      </c>
      <c r="O18" s="2" t="n">
        <v>0</v>
      </c>
      <c r="P18" s="2">
        <f>N18*O18</f>
        <v/>
      </c>
    </row>
    <row r="19">
      <c r="B19" t="inlineStr">
        <is>
          <t>Friday, 03 Jul</t>
        </is>
      </c>
      <c r="D19" t="inlineStr">
        <is>
          <t>HLGIU_NA_Marriott OPERA Cloud deployment</t>
        </is>
      </c>
      <c r="E19" t="inlineStr">
        <is>
          <t>6/27/26 - 7/3/26</t>
        </is>
      </c>
      <c r="F19" t="inlineStr">
        <is>
          <t>Reporting - Reporting</t>
        </is>
      </c>
      <c r="H19" t="inlineStr">
        <is>
          <t>AE110007829</t>
        </is>
      </c>
      <c r="J19" t="n">
        <v>1</v>
      </c>
      <c r="K19" t="inlineStr">
        <is>
          <t>LABOR</t>
        </is>
      </c>
      <c r="L19" t="inlineStr">
        <is>
          <t>400335039</t>
        </is>
      </c>
      <c r="N19" t="n">
        <v>8</v>
      </c>
      <c r="O19" s="2" t="n">
        <v>0</v>
      </c>
      <c r="P19" s="2">
        <f>N19*O19</f>
        <v/>
      </c>
    </row>
    <row r="20">
      <c r="J20" t="n">
        <v>2</v>
      </c>
      <c r="K20" t="inlineStr">
        <is>
          <t>Expense</t>
        </is>
      </c>
      <c r="O20" s="2" t="n">
        <v>0</v>
      </c>
      <c r="P20" s="2">
        <f>N20*O20</f>
        <v/>
      </c>
    </row>
    <row r="21">
      <c r="B21" t="inlineStr">
        <is>
          <t>Monday, 29 Jun</t>
        </is>
      </c>
      <c r="D21" t="inlineStr">
        <is>
          <t>HLGIU_NA_Marriott OPERA Cloud deployment</t>
        </is>
      </c>
      <c r="E21" t="inlineStr">
        <is>
          <t>6/27/26 - 7/3/26</t>
        </is>
      </c>
      <c r="F21" t="inlineStr">
        <is>
          <t>Reporting - Reporting</t>
        </is>
      </c>
      <c r="H21" t="inlineStr">
        <is>
          <t>AE110007829</t>
        </is>
      </c>
      <c r="J21" t="n">
        <v>1</v>
      </c>
      <c r="K21" t="inlineStr">
        <is>
          <t>LABOR</t>
        </is>
      </c>
      <c r="L21" t="inlineStr">
        <is>
          <t>4000000039</t>
        </is>
      </c>
      <c r="N21" t="n">
        <v>8</v>
      </c>
      <c r="O21" s="2" t="n">
        <v>0</v>
      </c>
      <c r="P21" s="2">
        <f>N21*O21</f>
        <v/>
      </c>
    </row>
    <row r="22">
      <c r="J22" t="n">
        <v>2</v>
      </c>
      <c r="K22" t="inlineStr">
        <is>
          <t>Expense</t>
        </is>
      </c>
      <c r="O22" s="2" t="n">
        <v>0</v>
      </c>
      <c r="P22" s="2">
        <f>N22*O22</f>
        <v/>
      </c>
    </row>
    <row r="23">
      <c r="B23" t="inlineStr">
        <is>
          <t>Monday, 06 Jul</t>
        </is>
      </c>
      <c r="D23" t="inlineStr">
        <is>
          <t>Global Customer Support Platform Upgrade</t>
        </is>
      </c>
      <c r="F23" t="inlineStr">
        <is>
          <t>Application Integration</t>
        </is>
      </c>
      <c r="H23" t="inlineStr">
        <is>
          <t>AE110007829</t>
        </is>
      </c>
      <c r="J23" t="n">
        <v>1</v>
      </c>
      <c r="K23" t="inlineStr">
        <is>
          <t>LABOR</t>
        </is>
      </c>
      <c r="L23" t="inlineStr">
        <is>
          <t>620491875</t>
        </is>
      </c>
      <c r="N23" t="n">
        <v>8</v>
      </c>
      <c r="O23" s="2" t="n">
        <v>0</v>
      </c>
      <c r="P23" s="2">
        <f>N23*O23</f>
        <v/>
      </c>
    </row>
    <row r="24">
      <c r="J24" t="n">
        <v>2</v>
      </c>
      <c r="K24" t="inlineStr">
        <is>
          <t>Expense</t>
        </is>
      </c>
      <c r="O24" s="2" t="n">
        <v>0</v>
      </c>
      <c r="P24" s="2">
        <f>N24*O24</f>
        <v/>
      </c>
    </row>
    <row r="25">
      <c r="B25" t="inlineStr">
        <is>
          <t>Tuesday, 07 Jul</t>
        </is>
      </c>
      <c r="D25" t="inlineStr">
        <is>
          <t>Global Customer Support Platform Upgrade</t>
        </is>
      </c>
      <c r="F25" t="inlineStr">
        <is>
          <t>Application Integration</t>
        </is>
      </c>
      <c r="H25" t="inlineStr">
        <is>
          <t>AE110007829</t>
        </is>
      </c>
      <c r="J25" t="n">
        <v>1</v>
      </c>
      <c r="K25" t="inlineStr">
        <is>
          <t>LABOR</t>
        </is>
      </c>
      <c r="L25" t="inlineStr">
        <is>
          <t>620491875</t>
        </is>
      </c>
      <c r="N25" t="n">
        <v>8</v>
      </c>
      <c r="O25" s="2" t="n">
        <v>0</v>
      </c>
      <c r="P25" s="2">
        <f>N25*O25</f>
        <v/>
      </c>
    </row>
    <row r="26">
      <c r="J26" t="n">
        <v>2</v>
      </c>
      <c r="K26" t="inlineStr">
        <is>
          <t>Expense</t>
        </is>
      </c>
      <c r="O26" s="2" t="n">
        <v>0</v>
      </c>
      <c r="P26" s="2">
        <f>N26*O26</f>
        <v/>
      </c>
    </row>
    <row r="27">
      <c r="B27" t="inlineStr">
        <is>
          <t>Wednesday, 08 Jul</t>
        </is>
      </c>
      <c r="D27" t="inlineStr">
        <is>
          <t>Global Customer Support Platform Upgrade</t>
        </is>
      </c>
      <c r="F27" t="inlineStr">
        <is>
          <t>Application Integration</t>
        </is>
      </c>
      <c r="H27" t="inlineStr">
        <is>
          <t>AE110007829</t>
        </is>
      </c>
      <c r="J27" t="n">
        <v>1</v>
      </c>
      <c r="K27" t="inlineStr">
        <is>
          <t>LABOR</t>
        </is>
      </c>
      <c r="L27" t="inlineStr">
        <is>
          <t>620491875</t>
        </is>
      </c>
      <c r="N27" t="n">
        <v>8</v>
      </c>
      <c r="O27" s="2" t="n">
        <v>0</v>
      </c>
      <c r="P27" s="2">
        <f>N27*O27</f>
        <v/>
      </c>
    </row>
    <row r="28">
      <c r="J28" t="n">
        <v>2</v>
      </c>
      <c r="K28" t="inlineStr">
        <is>
          <t>Expense</t>
        </is>
      </c>
      <c r="O28" s="2" t="n">
        <v>0</v>
      </c>
      <c r="P28" s="2">
        <f>N28*O28</f>
        <v/>
      </c>
    </row>
    <row r="29">
      <c r="B29" t="inlineStr">
        <is>
          <t>Thursday, 09 Jul</t>
        </is>
      </c>
      <c r="D29" t="inlineStr">
        <is>
          <t>Global Customer Support Platform Upgrade</t>
        </is>
      </c>
      <c r="F29" t="inlineStr">
        <is>
          <t>Application Integration</t>
        </is>
      </c>
      <c r="H29" t="inlineStr">
        <is>
          <t>AE110007829</t>
        </is>
      </c>
      <c r="J29" t="n">
        <v>1</v>
      </c>
      <c r="K29" t="inlineStr">
        <is>
          <t>LABOR</t>
        </is>
      </c>
      <c r="L29" t="inlineStr">
        <is>
          <t>620491875</t>
        </is>
      </c>
      <c r="N29" t="n">
        <v>8</v>
      </c>
      <c r="O29" s="2" t="n">
        <v>0</v>
      </c>
      <c r="P29" s="2">
        <f>N29*O29</f>
        <v/>
      </c>
    </row>
    <row r="30">
      <c r="J30" t="n">
        <v>2</v>
      </c>
      <c r="K30" t="inlineStr">
        <is>
          <t>Expense</t>
        </is>
      </c>
      <c r="O30" s="2" t="n">
        <v>0</v>
      </c>
      <c r="P30" s="2">
        <f>N30*O30</f>
        <v/>
      </c>
    </row>
    <row r="31">
      <c r="B31" t="inlineStr">
        <is>
          <t>Friday, 10 Jul</t>
        </is>
      </c>
      <c r="D31" t="inlineStr">
        <is>
          <t>Global Customer Support Platform Upgrade</t>
        </is>
      </c>
      <c r="F31" t="inlineStr">
        <is>
          <t>Application Integration</t>
        </is>
      </c>
      <c r="H31" t="inlineStr">
        <is>
          <t>AE110007829</t>
        </is>
      </c>
      <c r="J31" t="n">
        <v>1</v>
      </c>
      <c r="K31" t="inlineStr">
        <is>
          <t>LABOR</t>
        </is>
      </c>
      <c r="L31" t="inlineStr">
        <is>
          <t>620491875</t>
        </is>
      </c>
      <c r="N31" t="n">
        <v>8</v>
      </c>
      <c r="O31" s="2" t="n">
        <v>0</v>
      </c>
      <c r="P31" s="2">
        <f>N31*O31</f>
        <v/>
      </c>
    </row>
    <row r="32">
      <c r="J32" t="n">
        <v>2</v>
      </c>
      <c r="K32" t="inlineStr">
        <is>
          <t>Expense</t>
        </is>
      </c>
      <c r="O32" s="2" t="n">
        <v>0</v>
      </c>
      <c r="P32" s="2">
        <f>N32*O32</f>
        <v/>
      </c>
    </row>
    <row r="33">
      <c r="B33" t="inlineStr">
        <is>
          <t>Monday, 11 May</t>
        </is>
      </c>
      <c r="D33" t="inlineStr">
        <is>
          <t>HLGIU &gt;46794966 UNISOTEL Le Havre</t>
        </is>
      </c>
      <c r="E33" t="inlineStr">
        <is>
          <t>5/9/26 - 5/15/26</t>
        </is>
      </c>
      <c r="F33" t="inlineStr">
        <is>
          <t>3.Hotel PMS CL Implement - B87620</t>
        </is>
      </c>
      <c r="H33" t="inlineStr">
        <is>
          <t>AE110007829</t>
        </is>
      </c>
      <c r="J33" t="n">
        <v>1</v>
      </c>
      <c r="K33" t="inlineStr">
        <is>
          <t>LABOR</t>
        </is>
      </c>
      <c r="L33" t="inlineStr">
        <is>
          <t>400411786</t>
        </is>
      </c>
      <c r="N33" t="n">
        <v>8</v>
      </c>
      <c r="O33" s="2" t="n">
        <v>0</v>
      </c>
      <c r="P33" s="2">
        <f>N33*O33</f>
        <v/>
      </c>
    </row>
    <row r="34">
      <c r="J34" t="n">
        <v>2</v>
      </c>
      <c r="K34" t="inlineStr">
        <is>
          <t>Expense</t>
        </is>
      </c>
      <c r="O34" s="2" t="n">
        <v>0</v>
      </c>
      <c r="P34" s="2">
        <f>N34*O34</f>
        <v/>
      </c>
    </row>
    <row r="35">
      <c r="B35" t="inlineStr">
        <is>
          <t>Wednesday, 13 May</t>
        </is>
      </c>
      <c r="D35" t="inlineStr">
        <is>
          <t>HLGIU &gt;46794499 UNISOTEL LE MANS</t>
        </is>
      </c>
      <c r="E35" t="inlineStr">
        <is>
          <t>5/9/26 - 5/15/26</t>
        </is>
      </c>
      <c r="F35" t="inlineStr">
        <is>
          <t>3.Hotel Cloud PMS System - B87629</t>
        </is>
      </c>
      <c r="H35" t="inlineStr">
        <is>
          <t>AE110007829</t>
        </is>
      </c>
      <c r="J35" t="n">
        <v>1</v>
      </c>
      <c r="K35" t="inlineStr">
        <is>
          <t>LABOR</t>
        </is>
      </c>
      <c r="L35" t="inlineStr">
        <is>
          <t>400411785</t>
        </is>
      </c>
      <c r="N35" t="n">
        <v>6</v>
      </c>
      <c r="O35" s="2" t="n">
        <v>0</v>
      </c>
      <c r="P35" s="2">
        <f>N35*O35</f>
        <v/>
      </c>
    </row>
    <row r="36">
      <c r="J36" t="n">
        <v>2</v>
      </c>
      <c r="K36" t="inlineStr">
        <is>
          <t>Expense</t>
        </is>
      </c>
      <c r="O36" s="2" t="n">
        <v>0</v>
      </c>
      <c r="P36" s="2">
        <f>N36*O36</f>
        <v/>
      </c>
    </row>
    <row r="37">
      <c r="B37" t="inlineStr">
        <is>
          <t>Saturday, 07 Mar</t>
        </is>
      </c>
      <c r="D37" t="inlineStr">
        <is>
          <t>HLGIU-EMEA-Motel One-OPERA Cloud rollout</t>
        </is>
      </c>
      <c r="E37" t="inlineStr">
        <is>
          <t>3/7/26 - 3/13/26</t>
        </is>
      </c>
      <c r="F37" t="inlineStr">
        <is>
          <t>1.01.00 - FP Labor -Billable Cost</t>
        </is>
      </c>
      <c r="H37" t="inlineStr">
        <is>
          <t>AE110007829</t>
        </is>
      </c>
      <c r="J37" t="n">
        <v>1</v>
      </c>
      <c r="K37" t="inlineStr">
        <is>
          <t>LABOR</t>
        </is>
      </c>
      <c r="L37" t="inlineStr">
        <is>
          <t>400380981</t>
        </is>
      </c>
      <c r="N37" t="n">
        <v>8</v>
      </c>
      <c r="O37" s="2" t="n">
        <v>0</v>
      </c>
      <c r="P37" s="2">
        <f>N37*O37</f>
        <v/>
      </c>
    </row>
    <row r="38">
      <c r="J38" t="n">
        <v>2</v>
      </c>
      <c r="K38" t="inlineStr">
        <is>
          <t>Expense</t>
        </is>
      </c>
      <c r="O38" s="2" t="n">
        <v>1168.42533362089</v>
      </c>
      <c r="P38" s="2">
        <f>N38*O38</f>
        <v/>
      </c>
    </row>
    <row r="39">
      <c r="B39" t="inlineStr">
        <is>
          <t>Wednesday, 04 Mar</t>
        </is>
      </c>
      <c r="D39" t="inlineStr">
        <is>
          <t>HLGIU-EMEA-Motel One-OPERA Cloud rollout</t>
        </is>
      </c>
      <c r="E39" t="inlineStr">
        <is>
          <t>3/7/26 - 3/13/26</t>
        </is>
      </c>
      <c r="F39" t="inlineStr">
        <is>
          <t>1.01.00 - FP Labor -Billable Cost</t>
        </is>
      </c>
      <c r="H39" t="inlineStr">
        <is>
          <t>AE110007829</t>
        </is>
      </c>
      <c r="J39" t="n">
        <v>1</v>
      </c>
      <c r="K39" t="inlineStr">
        <is>
          <t>LABOR</t>
        </is>
      </c>
      <c r="L39" t="inlineStr">
        <is>
          <t>400380981</t>
        </is>
      </c>
      <c r="N39" t="n">
        <v>8</v>
      </c>
      <c r="O39" s="2" t="n">
        <v>0</v>
      </c>
      <c r="P39" s="2">
        <f>N39*O39</f>
        <v/>
      </c>
    </row>
    <row r="40">
      <c r="J40" t="n">
        <v>2</v>
      </c>
      <c r="K40" t="inlineStr">
        <is>
          <t>Expense</t>
        </is>
      </c>
      <c r="O40" s="2" t="n">
        <v>0</v>
      </c>
      <c r="P40" s="2">
        <f>N40*O40</f>
        <v/>
      </c>
    </row>
    <row r="41">
      <c r="B41" t="inlineStr">
        <is>
          <t>Thursday, 05 Mar</t>
        </is>
      </c>
      <c r="D41" t="inlineStr">
        <is>
          <t>HLGIU-EMEA-Motel One-OPERA Cloud rollout</t>
        </is>
      </c>
      <c r="E41" t="inlineStr">
        <is>
          <t>3/7/26 - 3/13/26</t>
        </is>
      </c>
      <c r="F41" t="inlineStr">
        <is>
          <t>1.01.00 - FP Labor -Billable Cost</t>
        </is>
      </c>
      <c r="H41" t="inlineStr">
        <is>
          <t>AE110007829</t>
        </is>
      </c>
      <c r="J41" t="n">
        <v>1</v>
      </c>
      <c r="K41" t="inlineStr">
        <is>
          <t>LABOR</t>
        </is>
      </c>
      <c r="L41" t="inlineStr">
        <is>
          <t>400380981</t>
        </is>
      </c>
      <c r="N41" t="n">
        <v>8</v>
      </c>
      <c r="O41" s="2" t="n">
        <v>0</v>
      </c>
      <c r="P41" s="2">
        <f>N41*O41</f>
        <v/>
      </c>
    </row>
    <row r="42">
      <c r="J42" t="n">
        <v>2</v>
      </c>
      <c r="K42" t="inlineStr">
        <is>
          <t>Expense</t>
        </is>
      </c>
      <c r="O42" s="2" t="n">
        <v>0</v>
      </c>
      <c r="P42" s="2">
        <f>N42*O42</f>
        <v/>
      </c>
    </row>
    <row r="43">
      <c r="B43" t="inlineStr">
        <is>
          <t>Friday, 06 Mar</t>
        </is>
      </c>
      <c r="D43" t="inlineStr">
        <is>
          <t>HLGIU-EMEA-Motel One-OPERA Cloud rollout</t>
        </is>
      </c>
      <c r="E43" t="inlineStr">
        <is>
          <t>3/7/26 - 3/13/26</t>
        </is>
      </c>
      <c r="F43" t="inlineStr">
        <is>
          <t>1.01.00 - FP Labor -Billable Cost</t>
        </is>
      </c>
      <c r="H43" t="inlineStr">
        <is>
          <t>AE110007829</t>
        </is>
      </c>
      <c r="J43" t="n">
        <v>1</v>
      </c>
      <c r="K43" t="inlineStr">
        <is>
          <t>LABOR</t>
        </is>
      </c>
      <c r="L43" t="inlineStr">
        <is>
          <t>400380981</t>
        </is>
      </c>
      <c r="N43" t="n">
        <v>8</v>
      </c>
      <c r="O43" s="2" t="n">
        <v>0</v>
      </c>
      <c r="P43" s="2">
        <f>N43*O43</f>
        <v/>
      </c>
    </row>
    <row r="44">
      <c r="J44" t="n">
        <v>2</v>
      </c>
      <c r="K44" t="inlineStr">
        <is>
          <t>Expense</t>
        </is>
      </c>
      <c r="O44" s="2" t="n">
        <v>0</v>
      </c>
      <c r="P44" s="2">
        <f>N44*O44</f>
        <v/>
      </c>
    </row>
    <row r="45">
      <c r="B45" t="inlineStr">
        <is>
          <t>Monday, 11 May</t>
        </is>
      </c>
      <c r="D45" t="inlineStr">
        <is>
          <t>HLGIU_NA_Hyatt Corporation_Global OC Rollout</t>
        </is>
      </c>
      <c r="E45" t="inlineStr">
        <is>
          <t>5/9/26 - 5/15/26</t>
        </is>
      </c>
      <c r="F45" t="inlineStr">
        <is>
          <t>PMS/OXI Configuration Services - PMS/OXI Configuration Services</t>
        </is>
      </c>
      <c r="H45" t="inlineStr">
        <is>
          <t>AE110007829</t>
        </is>
      </c>
      <c r="J45" t="n">
        <v>1</v>
      </c>
      <c r="K45" t="inlineStr">
        <is>
          <t>LABOR</t>
        </is>
      </c>
      <c r="L45" t="inlineStr">
        <is>
          <t>400389738</t>
        </is>
      </c>
      <c r="N45" t="n">
        <v>8</v>
      </c>
      <c r="O45" s="2" t="n">
        <v>0</v>
      </c>
      <c r="P45" s="2">
        <f>N45*O45</f>
        <v/>
      </c>
    </row>
    <row r="46">
      <c r="J46" t="n">
        <v>2</v>
      </c>
      <c r="K46" t="inlineStr">
        <is>
          <t>Expense</t>
        </is>
      </c>
      <c r="O46" s="2" t="n">
        <v>0</v>
      </c>
      <c r="P46" s="2">
        <f>N46*O46</f>
        <v/>
      </c>
    </row>
    <row r="47">
      <c r="B47" t="inlineStr">
        <is>
          <t>Tuesday, 12 May</t>
        </is>
      </c>
      <c r="D47" t="inlineStr">
        <is>
          <t>HLGIU_NA_Hyatt Corporation_Global OC Rollout</t>
        </is>
      </c>
      <c r="E47" t="inlineStr">
        <is>
          <t>5/9/26 - 5/15/26</t>
        </is>
      </c>
      <c r="F47" t="inlineStr">
        <is>
          <t>PMS/OXI Configuration Services - PMS/OXI Configuration Services</t>
        </is>
      </c>
      <c r="H47" t="inlineStr">
        <is>
          <t>AE110007829</t>
        </is>
      </c>
      <c r="J47" t="n">
        <v>1</v>
      </c>
      <c r="K47" t="inlineStr">
        <is>
          <t>LABOR</t>
        </is>
      </c>
      <c r="L47" t="inlineStr">
        <is>
          <t>400389738</t>
        </is>
      </c>
      <c r="N47" t="n">
        <v>8</v>
      </c>
      <c r="O47" s="2" t="n">
        <v>0</v>
      </c>
      <c r="P47" s="2">
        <f>N47*O47</f>
        <v/>
      </c>
    </row>
    <row r="48">
      <c r="J48" t="n">
        <v>2</v>
      </c>
      <c r="K48" t="inlineStr">
        <is>
          <t>Expense</t>
        </is>
      </c>
      <c r="O48" s="2" t="n">
        <v>0</v>
      </c>
      <c r="P48" s="2">
        <f>N48*O48</f>
        <v/>
      </c>
    </row>
    <row r="49">
      <c r="B49" t="inlineStr">
        <is>
          <t>Wednesday, 13 May</t>
        </is>
      </c>
      <c r="D49" t="inlineStr">
        <is>
          <t>HLGIU_NA_Hyatt Corporation_Global OC Rollout</t>
        </is>
      </c>
      <c r="E49" t="inlineStr">
        <is>
          <t>5/9/26 - 5/15/26</t>
        </is>
      </c>
      <c r="F49" t="inlineStr">
        <is>
          <t>PMS/OXI Configuration Services - PMS/OXI Configuration Services</t>
        </is>
      </c>
      <c r="H49" t="inlineStr">
        <is>
          <t>AE110007829</t>
        </is>
      </c>
      <c r="J49" t="n">
        <v>1</v>
      </c>
      <c r="K49" t="inlineStr">
        <is>
          <t>LABOR</t>
        </is>
      </c>
      <c r="L49" t="inlineStr">
        <is>
          <t>400389738</t>
        </is>
      </c>
      <c r="N49" t="n">
        <v>10</v>
      </c>
      <c r="O49" s="2" t="n">
        <v>0</v>
      </c>
      <c r="P49" s="2">
        <f>N49*O49</f>
        <v/>
      </c>
    </row>
    <row r="50">
      <c r="J50" t="n">
        <v>2</v>
      </c>
      <c r="K50" t="inlineStr">
        <is>
          <t>Expense</t>
        </is>
      </c>
      <c r="O50" s="2" t="n">
        <v>0</v>
      </c>
      <c r="P50" s="2">
        <f>N50*O50</f>
        <v/>
      </c>
    </row>
    <row r="51">
      <c r="B51" t="inlineStr">
        <is>
          <t>Thursday, 14 May</t>
        </is>
      </c>
      <c r="D51" t="inlineStr">
        <is>
          <t>HLGIU_NA_Hyatt Corporation_Global OC Rollout</t>
        </is>
      </c>
      <c r="E51" t="inlineStr">
        <is>
          <t>5/9/26 - 5/15/26</t>
        </is>
      </c>
      <c r="F51" t="inlineStr">
        <is>
          <t>PMS/OXI Configuration Services - PMS/OXI Configuration Services</t>
        </is>
      </c>
      <c r="H51" t="inlineStr">
        <is>
          <t>AE110007829</t>
        </is>
      </c>
      <c r="J51" t="n">
        <v>1</v>
      </c>
      <c r="K51" t="inlineStr">
        <is>
          <t>LABOR</t>
        </is>
      </c>
      <c r="L51" t="inlineStr">
        <is>
          <t>400389738</t>
        </is>
      </c>
      <c r="N51" t="n">
        <v>4</v>
      </c>
      <c r="O51" s="2" t="n">
        <v>0</v>
      </c>
      <c r="P51" s="2">
        <f>N51*O51</f>
        <v/>
      </c>
    </row>
    <row r="52">
      <c r="J52" t="n">
        <v>2</v>
      </c>
      <c r="K52" t="inlineStr">
        <is>
          <t>Expense</t>
        </is>
      </c>
      <c r="O52" s="2" t="n">
        <v>0</v>
      </c>
      <c r="P52" s="2">
        <f>N52*O52</f>
        <v/>
      </c>
    </row>
    <row r="53">
      <c r="B53" t="inlineStr">
        <is>
          <t>Friday, 15 May</t>
        </is>
      </c>
      <c r="D53" t="inlineStr">
        <is>
          <t>HLGIU_NA_Hyatt Corporation_Global OC Rollout</t>
        </is>
      </c>
      <c r="E53" t="inlineStr">
        <is>
          <t>5/9/26 - 5/15/26</t>
        </is>
      </c>
      <c r="F53" t="inlineStr">
        <is>
          <t>PMS/OXI Configuration Services - PMS/OXI Configuration Services</t>
        </is>
      </c>
      <c r="H53" t="inlineStr">
        <is>
          <t>AE110007829</t>
        </is>
      </c>
      <c r="J53" t="n">
        <v>1</v>
      </c>
      <c r="K53" t="inlineStr">
        <is>
          <t>LABOR</t>
        </is>
      </c>
      <c r="L53" t="inlineStr">
        <is>
          <t>400389738</t>
        </is>
      </c>
      <c r="N53" t="n">
        <v>10</v>
      </c>
      <c r="O53" s="2" t="n">
        <v>0</v>
      </c>
      <c r="P53" s="2">
        <f>N53*O53</f>
        <v/>
      </c>
    </row>
    <row r="54">
      <c r="J54" t="n">
        <v>2</v>
      </c>
      <c r="K54" t="inlineStr">
        <is>
          <t>Expense</t>
        </is>
      </c>
      <c r="O54" s="2" t="n">
        <v>0</v>
      </c>
      <c r="P54" s="2">
        <f>N54*O54</f>
        <v/>
      </c>
    </row>
    <row r="55">
      <c r="B55" t="inlineStr">
        <is>
          <t>Monday, 11 May</t>
        </is>
      </c>
      <c r="D55" t="inlineStr">
        <is>
          <t>HLGIU_NA_Hyatt Corporation_Global OC Rollout PMS/OXI Configuration Services - PMS/OXI</t>
        </is>
      </c>
      <c r="E55" t="inlineStr">
        <is>
          <t>5/9/26 - 5/15/26</t>
        </is>
      </c>
      <c r="F55" t="inlineStr">
        <is>
          <t>Configuration Services</t>
        </is>
      </c>
      <c r="H55" t="inlineStr">
        <is>
          <t>AE110007829</t>
        </is>
      </c>
      <c r="J55" t="n">
        <v>1</v>
      </c>
      <c r="K55" t="inlineStr">
        <is>
          <t>LABOR</t>
        </is>
      </c>
      <c r="L55" t="inlineStr">
        <is>
          <t>400389738</t>
        </is>
      </c>
      <c r="N55" t="n">
        <v>8</v>
      </c>
      <c r="O55" s="2" t="n">
        <v>0</v>
      </c>
      <c r="P55" s="2">
        <f>N55*O55</f>
        <v/>
      </c>
    </row>
    <row r="56">
      <c r="J56" t="n">
        <v>2</v>
      </c>
      <c r="K56" t="inlineStr">
        <is>
          <t>Expense</t>
        </is>
      </c>
      <c r="O56" s="2" t="n">
        <v>0</v>
      </c>
      <c r="P56" s="2">
        <f>N56*O56</f>
        <v/>
      </c>
    </row>
    <row r="57">
      <c r="B57" t="inlineStr">
        <is>
          <t>Tuesday, 12 May</t>
        </is>
      </c>
      <c r="D57" t="inlineStr">
        <is>
          <t>HLGIU_NA_Hyatt Corporation_Global OC Rollout PMS/OXI Configuration Services - PMS/OXI</t>
        </is>
      </c>
      <c r="E57" t="inlineStr">
        <is>
          <t>5/9/26 - 5/15/26</t>
        </is>
      </c>
      <c r="F57" t="inlineStr">
        <is>
          <t>Configuration Services</t>
        </is>
      </c>
      <c r="H57" t="inlineStr">
        <is>
          <t>AE110007829</t>
        </is>
      </c>
      <c r="J57" t="n">
        <v>1</v>
      </c>
      <c r="K57" t="inlineStr">
        <is>
          <t>LABOR</t>
        </is>
      </c>
      <c r="L57" t="inlineStr">
        <is>
          <t>400389738</t>
        </is>
      </c>
      <c r="N57" t="n">
        <v>8</v>
      </c>
      <c r="O57" s="2" t="n">
        <v>0</v>
      </c>
      <c r="P57" s="2">
        <f>N57*O57</f>
        <v/>
      </c>
    </row>
    <row r="58">
      <c r="J58" t="n">
        <v>2</v>
      </c>
      <c r="K58" t="inlineStr">
        <is>
          <t>Expense</t>
        </is>
      </c>
      <c r="O58" s="2" t="n">
        <v>0</v>
      </c>
      <c r="P58" s="2">
        <f>N58*O58</f>
        <v/>
      </c>
    </row>
    <row r="59">
      <c r="B59" t="inlineStr">
        <is>
          <t>Wednesday, 13 May</t>
        </is>
      </c>
      <c r="D59" t="inlineStr">
        <is>
          <t>HLGIU_NA_Hyatt Corporation_Global OC Rollout PMS/OXI Configuration Services - PMS/OXI</t>
        </is>
      </c>
      <c r="E59" t="inlineStr">
        <is>
          <t>5/9/26 - 5/15/26</t>
        </is>
      </c>
      <c r="F59" t="inlineStr">
        <is>
          <t>Configuration Services</t>
        </is>
      </c>
      <c r="H59" t="inlineStr">
        <is>
          <t>AE110007829</t>
        </is>
      </c>
      <c r="J59" t="n">
        <v>1</v>
      </c>
      <c r="K59" t="inlineStr">
        <is>
          <t>LABOR</t>
        </is>
      </c>
      <c r="L59" t="inlineStr">
        <is>
          <t>400389738</t>
        </is>
      </c>
      <c r="N59" t="n">
        <v>8</v>
      </c>
      <c r="O59" s="2" t="n">
        <v>0</v>
      </c>
      <c r="P59" s="2">
        <f>N59*O59</f>
        <v/>
      </c>
    </row>
    <row r="60">
      <c r="J60" t="n">
        <v>2</v>
      </c>
      <c r="K60" t="inlineStr">
        <is>
          <t>Expense</t>
        </is>
      </c>
      <c r="O60" s="2" t="n">
        <v>0</v>
      </c>
      <c r="P60" s="2">
        <f>N60*O60</f>
        <v/>
      </c>
    </row>
    <row r="61">
      <c r="B61" t="inlineStr">
        <is>
          <t>Thursday, 14 May</t>
        </is>
      </c>
      <c r="D61" t="inlineStr">
        <is>
          <t>HLGIU_NA_Hyatt Corporation_Global OC Rollout PMS/OXI Configuration Services - PMS/OXI</t>
        </is>
      </c>
      <c r="E61" t="inlineStr">
        <is>
          <t>5/9/26 - 5/15/26</t>
        </is>
      </c>
      <c r="F61" t="inlineStr">
        <is>
          <t>Configuration Services</t>
        </is>
      </c>
      <c r="H61" t="inlineStr">
        <is>
          <t>AE110007829</t>
        </is>
      </c>
      <c r="J61" t="n">
        <v>1</v>
      </c>
      <c r="K61" t="inlineStr">
        <is>
          <t>LABOR</t>
        </is>
      </c>
      <c r="L61" t="inlineStr">
        <is>
          <t>400389738</t>
        </is>
      </c>
      <c r="N61" t="n">
        <v>8</v>
      </c>
      <c r="O61" s="2" t="n">
        <v>0</v>
      </c>
      <c r="P61" s="2">
        <f>N61*O61</f>
        <v/>
      </c>
    </row>
    <row r="62">
      <c r="J62" t="n">
        <v>2</v>
      </c>
      <c r="K62" t="inlineStr">
        <is>
          <t>Expense</t>
        </is>
      </c>
      <c r="O62" s="2" t="n">
        <v>0</v>
      </c>
      <c r="P62" s="2">
        <f>N62*O62</f>
        <v/>
      </c>
    </row>
    <row r="63">
      <c r="B63" t="inlineStr">
        <is>
          <t>Friday, 15 May</t>
        </is>
      </c>
      <c r="D63" t="inlineStr">
        <is>
          <t>HLGIU_NA_Hyatt Corporation_Global OC Rollout PMS/OXI Configuration Services - PMS/OXI</t>
        </is>
      </c>
      <c r="E63" t="inlineStr">
        <is>
          <t>5/9/26 - 5/15/26</t>
        </is>
      </c>
      <c r="F63" t="inlineStr">
        <is>
          <t>Configuration Services</t>
        </is>
      </c>
      <c r="H63" t="inlineStr">
        <is>
          <t>AE110007829</t>
        </is>
      </c>
      <c r="J63" t="n">
        <v>1</v>
      </c>
      <c r="K63" t="inlineStr">
        <is>
          <t>LABOR</t>
        </is>
      </c>
      <c r="L63" t="inlineStr">
        <is>
          <t>400389738</t>
        </is>
      </c>
      <c r="N63" t="n">
        <v>8</v>
      </c>
      <c r="O63" s="2" t="n">
        <v>0</v>
      </c>
      <c r="P63" s="2">
        <f>N63*O63</f>
        <v/>
      </c>
    </row>
    <row r="64">
      <c r="J64" t="n">
        <v>2</v>
      </c>
      <c r="K64" t="inlineStr">
        <is>
          <t>Expense</t>
        </is>
      </c>
      <c r="O64" s="2" t="n">
        <v>0</v>
      </c>
      <c r="P64" s="2">
        <f>N64*O64</f>
        <v/>
      </c>
    </row>
    <row r="65">
      <c r="B65" t="inlineStr">
        <is>
          <t>Monday, 11 May</t>
        </is>
      </c>
      <c r="D65" t="inlineStr">
        <is>
          <t>HLGIU &gt;46794966 UNISOTEL Le Havre</t>
        </is>
      </c>
      <c r="E65" t="inlineStr">
        <is>
          <t>5/9/26 - 5/15/26</t>
        </is>
      </c>
      <c r="F65" t="inlineStr">
        <is>
          <t>3.Hotel PMS CL Implement - B87620</t>
        </is>
      </c>
      <c r="H65" t="inlineStr">
        <is>
          <t>AE110007829</t>
        </is>
      </c>
      <c r="J65" t="n">
        <v>1</v>
      </c>
      <c r="K65" t="inlineStr">
        <is>
          <t>LABOR</t>
        </is>
      </c>
      <c r="L65" t="inlineStr">
        <is>
          <t>400411786</t>
        </is>
      </c>
      <c r="N65" t="n">
        <v>8</v>
      </c>
      <c r="O65" s="2" t="n">
        <v>0</v>
      </c>
      <c r="P65" s="2">
        <f>N65*O65</f>
        <v/>
      </c>
    </row>
    <row r="66">
      <c r="J66" t="n">
        <v>2</v>
      </c>
      <c r="K66" t="inlineStr">
        <is>
          <t>Expense</t>
        </is>
      </c>
      <c r="O66" s="2" t="n">
        <v>0</v>
      </c>
      <c r="P66" s="2">
        <f>N66*O66</f>
        <v/>
      </c>
    </row>
    <row r="67">
      <c r="B67" t="inlineStr">
        <is>
          <t>Wednesday, 13 May</t>
        </is>
      </c>
      <c r="D67" t="inlineStr">
        <is>
          <t>HLGIU &gt;46794499 UNISOTEL LE MANS</t>
        </is>
      </c>
      <c r="E67" t="inlineStr">
        <is>
          <t>5/9/26 - 5/15/26</t>
        </is>
      </c>
      <c r="F67" t="inlineStr">
        <is>
          <t>3.Hotel Cloud PMS System - B87629</t>
        </is>
      </c>
      <c r="H67" t="inlineStr">
        <is>
          <t>AE110007829</t>
        </is>
      </c>
      <c r="J67" t="n">
        <v>1</v>
      </c>
      <c r="K67" t="inlineStr">
        <is>
          <t>LABOR</t>
        </is>
      </c>
      <c r="L67" t="inlineStr">
        <is>
          <t>400411785</t>
        </is>
      </c>
      <c r="N67" t="n">
        <v>6</v>
      </c>
      <c r="O67" s="2" t="n">
        <v>0</v>
      </c>
      <c r="P67" s="2">
        <f>N67*O67</f>
        <v/>
      </c>
    </row>
    <row r="68">
      <c r="J68" t="n">
        <v>2</v>
      </c>
      <c r="K68" t="inlineStr">
        <is>
          <t>Expense</t>
        </is>
      </c>
      <c r="O68" s="2" t="n">
        <v>0</v>
      </c>
      <c r="P68" s="2">
        <f>N68*O68</f>
        <v/>
      </c>
    </row>
    <row r="69">
      <c r="B69" t="inlineStr">
        <is>
          <t>Tuesday, 12 May</t>
        </is>
      </c>
      <c r="D69" t="inlineStr">
        <is>
          <t>HLGIU &gt;46354333 Viceroy Santa Monica</t>
        </is>
      </c>
      <c r="E69" t="inlineStr">
        <is>
          <t>5/9/26 - 5/15/26</t>
        </is>
      </c>
      <c r="F69" t="inlineStr">
        <is>
          <t>2.Hotel CL Network Servic - B87622</t>
        </is>
      </c>
      <c r="H69" t="inlineStr">
        <is>
          <t>AE110007829</t>
        </is>
      </c>
      <c r="J69" t="n">
        <v>1</v>
      </c>
      <c r="K69" t="inlineStr">
        <is>
          <t>LABOR</t>
        </is>
      </c>
      <c r="L69" t="inlineStr">
        <is>
          <t>400408585</t>
        </is>
      </c>
      <c r="N69" t="n">
        <v>5</v>
      </c>
      <c r="O69" s="2" t="n">
        <v>0</v>
      </c>
      <c r="P69" s="2">
        <f>N69*O69</f>
        <v/>
      </c>
    </row>
    <row r="70">
      <c r="J70" t="n">
        <v>2</v>
      </c>
      <c r="K70" t="inlineStr">
        <is>
          <t>Expense</t>
        </is>
      </c>
      <c r="O70" s="2" t="n">
        <v>0</v>
      </c>
      <c r="P70" s="2">
        <f>N70*O70</f>
        <v/>
      </c>
    </row>
    <row r="71">
      <c r="B71" t="inlineStr">
        <is>
          <t>Monday, 11 May</t>
        </is>
      </c>
      <c r="D71" t="inlineStr">
        <is>
          <t>HLGIU-EMEA-Dormero-OPERA _Cloud_Migration_400402152</t>
        </is>
      </c>
      <c r="E71" t="inlineStr">
        <is>
          <t>5/9/26 - 5/15/26</t>
        </is>
      </c>
      <c r="F71" t="inlineStr">
        <is>
          <t>1.01.00 - FP Labor -Billable Cost</t>
        </is>
      </c>
      <c r="H71" t="inlineStr">
        <is>
          <t>AE110007829</t>
        </is>
      </c>
      <c r="J71" t="n">
        <v>1</v>
      </c>
      <c r="K71" t="inlineStr">
        <is>
          <t>LABOR</t>
        </is>
      </c>
      <c r="L71" t="inlineStr">
        <is>
          <t>400402152</t>
        </is>
      </c>
      <c r="N71" t="n">
        <v>8</v>
      </c>
      <c r="O71" s="2" t="n">
        <v>0</v>
      </c>
      <c r="P71" s="2">
        <f>N71*O71</f>
        <v/>
      </c>
    </row>
    <row r="72">
      <c r="J72" t="n">
        <v>2</v>
      </c>
      <c r="K72" t="inlineStr">
        <is>
          <t>Expense</t>
        </is>
      </c>
      <c r="O72" s="2" t="n">
        <v>0</v>
      </c>
      <c r="P72" s="2">
        <f>N72*O72</f>
        <v/>
      </c>
    </row>
    <row r="73">
      <c r="B73" t="inlineStr">
        <is>
          <t>Tuesday, 12 May</t>
        </is>
      </c>
      <c r="D73" t="inlineStr">
        <is>
          <t>HLGIU-EMEA-Dormero-OPERA _Cloud_Migration_400402152</t>
        </is>
      </c>
      <c r="E73" t="inlineStr">
        <is>
          <t>5/9/26 - 5/15/26</t>
        </is>
      </c>
      <c r="F73" t="inlineStr">
        <is>
          <t>1.01.00 - FP Labor -Billable Cost</t>
        </is>
      </c>
      <c r="H73" t="inlineStr">
        <is>
          <t>AE110007829</t>
        </is>
      </c>
      <c r="J73" t="n">
        <v>1</v>
      </c>
      <c r="K73" t="inlineStr">
        <is>
          <t>LABOR</t>
        </is>
      </c>
      <c r="L73" t="inlineStr">
        <is>
          <t>400402152</t>
        </is>
      </c>
      <c r="N73" t="n">
        <v>8</v>
      </c>
      <c r="O73" s="2" t="n">
        <v>0</v>
      </c>
      <c r="P73" s="2">
        <f>N73*O73</f>
        <v/>
      </c>
    </row>
    <row r="74">
      <c r="J74" t="n">
        <v>2</v>
      </c>
      <c r="K74" t="inlineStr">
        <is>
          <t>Expense</t>
        </is>
      </c>
      <c r="O74" s="2" t="n">
        <v>0</v>
      </c>
      <c r="P74" s="2">
        <f>N74*O74</f>
        <v/>
      </c>
    </row>
    <row r="75">
      <c r="B75" t="inlineStr">
        <is>
          <t>Monday, 11 May</t>
        </is>
      </c>
      <c r="D75" t="inlineStr">
        <is>
          <t>HLGIU_EMEA_Motel One_Managed Services__400391340</t>
        </is>
      </c>
      <c r="E75" t="inlineStr">
        <is>
          <t>5/9/26 - 5/15/26</t>
        </is>
      </c>
      <c r="F75" t="inlineStr">
        <is>
          <t>1.01.00 - FP Labor -Billable Cost</t>
        </is>
      </c>
      <c r="H75" t="inlineStr">
        <is>
          <t>AE110007829</t>
        </is>
      </c>
      <c r="J75" t="n">
        <v>1</v>
      </c>
      <c r="K75" t="inlineStr">
        <is>
          <t>LABOR</t>
        </is>
      </c>
      <c r="L75" t="inlineStr">
        <is>
          <t>400391340</t>
        </is>
      </c>
      <c r="N75" t="n">
        <v>8</v>
      </c>
      <c r="O75" s="2" t="n">
        <v>0</v>
      </c>
      <c r="P75" s="2">
        <f>N75*O75</f>
        <v/>
      </c>
    </row>
    <row r="76">
      <c r="J76" t="n">
        <v>2</v>
      </c>
      <c r="K76" t="inlineStr">
        <is>
          <t>Expense</t>
        </is>
      </c>
      <c r="O76" s="2" t="n">
        <v>0</v>
      </c>
      <c r="P76" s="2">
        <f>N76*O76</f>
        <v/>
      </c>
    </row>
    <row r="77">
      <c r="B77" t="inlineStr">
        <is>
          <t>Tuesday, 12 May</t>
        </is>
      </c>
      <c r="D77" t="inlineStr">
        <is>
          <t>HLGIU_EMEA_Motel One_Managed Services__400391340</t>
        </is>
      </c>
      <c r="E77" t="inlineStr">
        <is>
          <t>5/9/26 - 5/15/26</t>
        </is>
      </c>
      <c r="F77" t="inlineStr">
        <is>
          <t>1.01.00 - FP Labor -Billable Cost</t>
        </is>
      </c>
      <c r="H77" t="inlineStr">
        <is>
          <t>AE110007829</t>
        </is>
      </c>
      <c r="J77" t="n">
        <v>1</v>
      </c>
      <c r="K77" t="inlineStr">
        <is>
          <t>LABOR</t>
        </is>
      </c>
      <c r="L77" t="inlineStr">
        <is>
          <t>400391340</t>
        </is>
      </c>
      <c r="N77" t="n">
        <v>8</v>
      </c>
      <c r="O77" s="2" t="n">
        <v>0</v>
      </c>
      <c r="P77" s="2">
        <f>N77*O77</f>
        <v/>
      </c>
    </row>
    <row r="78">
      <c r="J78" t="n">
        <v>2</v>
      </c>
      <c r="K78" t="inlineStr">
        <is>
          <t>Expense</t>
        </is>
      </c>
      <c r="O78" s="2" t="n">
        <v>0</v>
      </c>
      <c r="P78" s="2">
        <f>N78*O78</f>
        <v/>
      </c>
    </row>
    <row r="79">
      <c r="B79" t="inlineStr">
        <is>
          <t>Wednesday, 13 May</t>
        </is>
      </c>
      <c r="D79" t="inlineStr">
        <is>
          <t>HLGIU_EMEA_Motel One_Managed Services__400391340</t>
        </is>
      </c>
      <c r="E79" t="inlineStr">
        <is>
          <t>5/9/26 - 5/15/26</t>
        </is>
      </c>
      <c r="F79" t="inlineStr">
        <is>
          <t>1.01.00 - FP Labor -Billable Cost</t>
        </is>
      </c>
      <c r="H79" t="inlineStr">
        <is>
          <t>AE110007829</t>
        </is>
      </c>
      <c r="J79" t="n">
        <v>1</v>
      </c>
      <c r="K79" t="inlineStr">
        <is>
          <t>LABOR</t>
        </is>
      </c>
      <c r="L79" t="inlineStr">
        <is>
          <t>400391340</t>
        </is>
      </c>
      <c r="N79" t="n">
        <v>8</v>
      </c>
      <c r="O79" s="2" t="n">
        <v>0</v>
      </c>
      <c r="P79" s="2">
        <f>N79*O79</f>
        <v/>
      </c>
    </row>
    <row r="80">
      <c r="J80" t="n">
        <v>2</v>
      </c>
      <c r="K80" t="inlineStr">
        <is>
          <t>Expense</t>
        </is>
      </c>
      <c r="O80" s="2" t="n">
        <v>0</v>
      </c>
      <c r="P80" s="2">
        <f>N80*O80</f>
        <v/>
      </c>
    </row>
    <row r="81">
      <c r="B81" t="inlineStr">
        <is>
          <t>Thursday, 14 May</t>
        </is>
      </c>
      <c r="D81" t="inlineStr">
        <is>
          <t>HLGIU_EMEA_Motel One_Managed Services__400391340</t>
        </is>
      </c>
      <c r="E81" t="inlineStr">
        <is>
          <t>5/9/26 - 5/15/26</t>
        </is>
      </c>
      <c r="F81" t="inlineStr">
        <is>
          <t>1.01.00 - FP Labor -Billable Cost</t>
        </is>
      </c>
      <c r="H81" t="inlineStr">
        <is>
          <t>AE110007829</t>
        </is>
      </c>
      <c r="J81" t="n">
        <v>1</v>
      </c>
      <c r="K81" t="inlineStr">
        <is>
          <t>LABOR</t>
        </is>
      </c>
      <c r="L81" t="inlineStr">
        <is>
          <t>400391340</t>
        </is>
      </c>
      <c r="N81" t="n">
        <v>8</v>
      </c>
      <c r="O81" s="2" t="n">
        <v>0</v>
      </c>
      <c r="P81" s="2">
        <f>N81*O81</f>
        <v/>
      </c>
    </row>
    <row r="82">
      <c r="J82" t="n">
        <v>2</v>
      </c>
      <c r="K82" t="inlineStr">
        <is>
          <t>Expense</t>
        </is>
      </c>
      <c r="O82" s="2" t="n">
        <v>0</v>
      </c>
      <c r="P82" s="2">
        <f>N82*O82</f>
        <v/>
      </c>
    </row>
    <row r="83">
      <c r="B83" t="inlineStr">
        <is>
          <t>Friday, 15 May</t>
        </is>
      </c>
      <c r="D83" t="inlineStr">
        <is>
          <t>HLGIU_EMEA_Motel One_Managed Services__400391340</t>
        </is>
      </c>
      <c r="E83" t="inlineStr">
        <is>
          <t>5/9/26 - 5/15/26</t>
        </is>
      </c>
      <c r="F83" t="inlineStr">
        <is>
          <t>1.01.00 - FP Labor -Billable Cost</t>
        </is>
      </c>
      <c r="H83" t="inlineStr">
        <is>
          <t>AE110007829</t>
        </is>
      </c>
      <c r="J83" t="n">
        <v>1</v>
      </c>
      <c r="K83" t="inlineStr">
        <is>
          <t>LABOR</t>
        </is>
      </c>
      <c r="L83" t="inlineStr">
        <is>
          <t>400391340</t>
        </is>
      </c>
      <c r="N83" t="n">
        <v>8</v>
      </c>
      <c r="O83" s="2" t="n">
        <v>0</v>
      </c>
      <c r="P83" s="2">
        <f>N83*O83</f>
        <v/>
      </c>
    </row>
    <row r="84">
      <c r="J84" t="n">
        <v>2</v>
      </c>
      <c r="K84" t="inlineStr">
        <is>
          <t>Expense</t>
        </is>
      </c>
      <c r="O84" s="2" t="n">
        <v>0</v>
      </c>
      <c r="P84" s="2">
        <f>N84*O84</f>
        <v/>
      </c>
    </row>
    <row r="85">
      <c r="B85" t="inlineStr">
        <is>
          <t>Saturday, 09 May</t>
        </is>
      </c>
      <c r="D85" t="inlineStr">
        <is>
          <t>HLGIU-EMEA-Dormero-OPERA _Cloud_Migration_400402152</t>
        </is>
      </c>
      <c r="E85" t="inlineStr">
        <is>
          <t>5/9/26 - 5/15/26</t>
        </is>
      </c>
      <c r="F85" t="inlineStr">
        <is>
          <t>1.01.00 - FP Labor -Billable Cost</t>
        </is>
      </c>
      <c r="H85" t="inlineStr">
        <is>
          <t>AE110007829</t>
        </is>
      </c>
      <c r="J85" t="n">
        <v>1</v>
      </c>
      <c r="K85" t="inlineStr">
        <is>
          <t>LABOR</t>
        </is>
      </c>
      <c r="L85" t="inlineStr">
        <is>
          <t>400402152</t>
        </is>
      </c>
      <c r="N85" t="n">
        <v>8</v>
      </c>
      <c r="O85" s="2" t="n">
        <v>0</v>
      </c>
      <c r="P85" s="2">
        <f>N85*O85</f>
        <v/>
      </c>
    </row>
    <row r="86">
      <c r="J86" t="n">
        <v>2</v>
      </c>
      <c r="K86" t="inlineStr">
        <is>
          <t>Expense</t>
        </is>
      </c>
      <c r="O86" s="2" t="n">
        <v>0</v>
      </c>
      <c r="P86" s="2">
        <f>N86*O86</f>
        <v/>
      </c>
    </row>
    <row r="87">
      <c r="B87" t="inlineStr">
        <is>
          <t>Tuesday, 12 May</t>
        </is>
      </c>
      <c r="D87" t="inlineStr">
        <is>
          <t>HLGIU &gt;46257410 Citadines Eurometropole Strasbourg Oberhausbergen</t>
        </is>
      </c>
      <c r="E87" t="inlineStr">
        <is>
          <t>5/9/26 - 5/15/26</t>
        </is>
      </c>
      <c r="F87" t="inlineStr">
        <is>
          <t>3.Hotel Live Cld Suprt EX - B87926</t>
        </is>
      </c>
      <c r="H87" t="inlineStr">
        <is>
          <t>AE110007829</t>
        </is>
      </c>
      <c r="J87" t="n">
        <v>1</v>
      </c>
      <c r="K87" t="inlineStr">
        <is>
          <t>LABOR</t>
        </is>
      </c>
      <c r="L87" t="inlineStr">
        <is>
          <t>400406511</t>
        </is>
      </c>
      <c r="N87" t="n">
        <v>8</v>
      </c>
      <c r="O87" s="2" t="n">
        <v>0</v>
      </c>
      <c r="P87" s="2">
        <f>N87*O87</f>
        <v/>
      </c>
    </row>
    <row r="88">
      <c r="J88" t="n">
        <v>2</v>
      </c>
      <c r="K88" t="inlineStr">
        <is>
          <t>Expense</t>
        </is>
      </c>
      <c r="O88" s="2" t="n">
        <v>0</v>
      </c>
      <c r="P88" s="2">
        <f>N88*O88</f>
        <v/>
      </c>
    </row>
    <row r="89">
      <c r="B89" t="inlineStr">
        <is>
          <t>Monday, 11 May</t>
        </is>
      </c>
      <c r="D89" t="inlineStr">
        <is>
          <t>FBGIU &gt;46934737 Four Seasons Resort Mykonos</t>
        </is>
      </c>
      <c r="E89" t="inlineStr">
        <is>
          <t>5/9/26 - 5/15/26</t>
        </is>
      </c>
      <c r="F89" t="inlineStr">
        <is>
          <t>2.F&amp;B POS Implement Cloud - B88107</t>
        </is>
      </c>
      <c r="H89" t="inlineStr">
        <is>
          <t>AE110007829</t>
        </is>
      </c>
      <c r="J89" t="n">
        <v>1</v>
      </c>
      <c r="K89" t="inlineStr">
        <is>
          <t>LABOR</t>
        </is>
      </c>
      <c r="L89" t="inlineStr">
        <is>
          <t>400415294</t>
        </is>
      </c>
      <c r="N89" t="n">
        <v>8</v>
      </c>
      <c r="O89" s="2" t="n">
        <v>0</v>
      </c>
      <c r="P89" s="2">
        <f>N89*O89</f>
        <v/>
      </c>
    </row>
    <row r="90">
      <c r="J90" t="n">
        <v>2</v>
      </c>
      <c r="K90" t="inlineStr">
        <is>
          <t>Expense</t>
        </is>
      </c>
      <c r="O90" s="2" t="n">
        <v>0</v>
      </c>
      <c r="P90" s="2">
        <f>N90*O90</f>
        <v/>
      </c>
    </row>
    <row r="91">
      <c r="B91" t="inlineStr">
        <is>
          <t>Tuesday, 12 May</t>
        </is>
      </c>
      <c r="D91" t="inlineStr">
        <is>
          <t>FBGIU &gt;46934737 Four Seasons Resort Mykonos</t>
        </is>
      </c>
      <c r="E91" t="inlineStr">
        <is>
          <t>5/9/26 - 5/15/26</t>
        </is>
      </c>
      <c r="F91" t="inlineStr">
        <is>
          <t>2.F&amp;B POS Implement Cloud - B88107</t>
        </is>
      </c>
      <c r="H91" t="inlineStr">
        <is>
          <t>AE110007829</t>
        </is>
      </c>
      <c r="J91" t="n">
        <v>1</v>
      </c>
      <c r="K91" t="inlineStr">
        <is>
          <t>LABOR</t>
        </is>
      </c>
      <c r="L91" t="inlineStr">
        <is>
          <t>400415294</t>
        </is>
      </c>
      <c r="N91" t="n">
        <v>8</v>
      </c>
      <c r="O91" s="2" t="n">
        <v>0</v>
      </c>
      <c r="P91" s="2">
        <f>N91*O91</f>
        <v/>
      </c>
    </row>
    <row r="92">
      <c r="J92" t="n">
        <v>2</v>
      </c>
      <c r="K92" t="inlineStr">
        <is>
          <t>Expense</t>
        </is>
      </c>
      <c r="O92" s="2" t="n">
        <v>0</v>
      </c>
      <c r="P92" s="2">
        <f>N92*O92</f>
        <v/>
      </c>
    </row>
    <row r="93">
      <c r="B93" t="inlineStr">
        <is>
          <t>Wednesday, 13 May</t>
        </is>
      </c>
      <c r="D93" t="inlineStr">
        <is>
          <t>FBGIU &gt;46934737 Four Seasons Resort Mykonos</t>
        </is>
      </c>
      <c r="E93" t="inlineStr">
        <is>
          <t>5/9/26 - 5/15/26</t>
        </is>
      </c>
      <c r="F93" t="inlineStr">
        <is>
          <t>2.F&amp;B POS Implement Cloud - B88107</t>
        </is>
      </c>
      <c r="H93" t="inlineStr">
        <is>
          <t>AE110007829</t>
        </is>
      </c>
      <c r="J93" t="n">
        <v>1</v>
      </c>
      <c r="K93" t="inlineStr">
        <is>
          <t>LABOR</t>
        </is>
      </c>
      <c r="L93" t="inlineStr">
        <is>
          <t>400415294</t>
        </is>
      </c>
      <c r="N93" t="n">
        <v>8</v>
      </c>
      <c r="O93" s="2" t="n">
        <v>0</v>
      </c>
      <c r="P93" s="2">
        <f>N93*O93</f>
        <v/>
      </c>
    </row>
    <row r="94">
      <c r="J94" t="n">
        <v>2</v>
      </c>
      <c r="K94" t="inlineStr">
        <is>
          <t>Expense</t>
        </is>
      </c>
      <c r="O94" s="2" t="n">
        <v>0</v>
      </c>
      <c r="P94" s="2">
        <f>N94*O94</f>
        <v/>
      </c>
    </row>
    <row r="95">
      <c r="B95" t="inlineStr">
        <is>
          <t>Thursday, 14 May</t>
        </is>
      </c>
      <c r="D95" t="inlineStr">
        <is>
          <t>FBGIU &gt;46934737 Four Seasons Resort Mykonos</t>
        </is>
      </c>
      <c r="E95" t="inlineStr">
        <is>
          <t>5/9/26 - 5/15/26</t>
        </is>
      </c>
      <c r="F95" t="inlineStr">
        <is>
          <t>2.F&amp;B POS Implement Cloud - B88107</t>
        </is>
      </c>
      <c r="H95" t="inlineStr">
        <is>
          <t>AE110007829</t>
        </is>
      </c>
      <c r="J95" t="n">
        <v>1</v>
      </c>
      <c r="K95" t="inlineStr">
        <is>
          <t>LABOR</t>
        </is>
      </c>
      <c r="L95" t="inlineStr">
        <is>
          <t>400415294</t>
        </is>
      </c>
      <c r="N95" t="n">
        <v>8</v>
      </c>
      <c r="O95" s="2" t="n">
        <v>0</v>
      </c>
      <c r="P95" s="2">
        <f>N95*O95</f>
        <v/>
      </c>
    </row>
    <row r="96">
      <c r="J96" t="n">
        <v>2</v>
      </c>
      <c r="K96" t="inlineStr">
        <is>
          <t>Expense</t>
        </is>
      </c>
      <c r="O96" s="2" t="n">
        <v>0</v>
      </c>
      <c r="P96" s="2">
        <f>N96*O96</f>
        <v/>
      </c>
    </row>
    <row r="97">
      <c r="B97" t="inlineStr">
        <is>
          <t>Friday, 15 May</t>
        </is>
      </c>
      <c r="D97" t="inlineStr">
        <is>
          <t>FBGIU &gt;46934737 Four Seasons Resort Mykonos</t>
        </is>
      </c>
      <c r="E97" t="inlineStr">
        <is>
          <t>5/9/26 - 5/15/26</t>
        </is>
      </c>
      <c r="F97" t="inlineStr">
        <is>
          <t>2.F&amp;B POS Implement Cloud - B88107</t>
        </is>
      </c>
      <c r="H97" t="inlineStr">
        <is>
          <t>AE110007829</t>
        </is>
      </c>
      <c r="J97" t="n">
        <v>1</v>
      </c>
      <c r="K97" t="inlineStr">
        <is>
          <t>LABOR</t>
        </is>
      </c>
      <c r="L97" t="inlineStr">
        <is>
          <t>400415294</t>
        </is>
      </c>
      <c r="N97" t="n">
        <v>8</v>
      </c>
      <c r="O97" s="2" t="n">
        <v>0</v>
      </c>
      <c r="P97" s="2">
        <f>N97*O97</f>
        <v/>
      </c>
    </row>
    <row r="98">
      <c r="J98" t="n">
        <v>2</v>
      </c>
      <c r="K98" t="inlineStr">
        <is>
          <t>Expense</t>
        </is>
      </c>
      <c r="O98" s="2" t="n">
        <v>0</v>
      </c>
      <c r="P98" s="2">
        <f>N98*O98</f>
        <v/>
      </c>
    </row>
    <row r="99">
      <c r="B99" t="inlineStr">
        <is>
          <t>Monday, 11 May</t>
        </is>
      </c>
      <c r="D99" t="inlineStr">
        <is>
          <t>FBGIU LAD_RBI__BK_Caribbean Intl Food Franchises NV_Simphony_</t>
        </is>
      </c>
      <c r="E99" t="inlineStr">
        <is>
          <t>5/9/26 - 5/15/26</t>
        </is>
      </c>
      <c r="F99" t="inlineStr">
        <is>
          <t>1.01.01 - Labor-Billable Cost</t>
        </is>
      </c>
      <c r="H99" t="inlineStr">
        <is>
          <t>AE110007829</t>
        </is>
      </c>
      <c r="J99" t="n">
        <v>1</v>
      </c>
      <c r="K99" t="inlineStr">
        <is>
          <t>LABOR</t>
        </is>
      </c>
      <c r="L99" t="inlineStr">
        <is>
          <t>400361134</t>
        </is>
      </c>
      <c r="N99" t="n">
        <v>4</v>
      </c>
      <c r="O99" s="2" t="n">
        <v>0</v>
      </c>
      <c r="P99" s="2">
        <f>N99*O99</f>
        <v/>
      </c>
    </row>
    <row r="100">
      <c r="J100" t="n">
        <v>2</v>
      </c>
      <c r="K100" t="inlineStr">
        <is>
          <t>Expense</t>
        </is>
      </c>
      <c r="O100" s="2" t="n">
        <v>0</v>
      </c>
      <c r="P100" s="2">
        <f>N100*O100</f>
        <v/>
      </c>
    </row>
    <row r="101">
      <c r="B101" t="inlineStr">
        <is>
          <t>Tuesday, 12 May</t>
        </is>
      </c>
      <c r="D101" t="inlineStr">
        <is>
          <t>FBGIU LAD_RBI__BK_Caribbean Intl Food Franchises NV_Simphony_</t>
        </is>
      </c>
      <c r="E101" t="inlineStr">
        <is>
          <t>5/9/26 - 5/15/26</t>
        </is>
      </c>
      <c r="F101" t="inlineStr">
        <is>
          <t>1.01.01 - Labor-Billable Cost</t>
        </is>
      </c>
      <c r="H101" t="inlineStr">
        <is>
          <t>AE110007829</t>
        </is>
      </c>
      <c r="J101" t="n">
        <v>1</v>
      </c>
      <c r="K101" t="inlineStr">
        <is>
          <t>LABOR</t>
        </is>
      </c>
      <c r="L101" t="inlineStr">
        <is>
          <t>400361134</t>
        </is>
      </c>
      <c r="N101" t="n">
        <v>4</v>
      </c>
      <c r="O101" s="2" t="n">
        <v>0</v>
      </c>
      <c r="P101" s="2">
        <f>N101*O101</f>
        <v/>
      </c>
    </row>
    <row r="102">
      <c r="J102" t="n">
        <v>2</v>
      </c>
      <c r="K102" t="inlineStr">
        <is>
          <t>Expense</t>
        </is>
      </c>
      <c r="O102" s="2" t="n">
        <v>0</v>
      </c>
      <c r="P102" s="2">
        <f>N102*O102</f>
        <v/>
      </c>
    </row>
    <row r="103">
      <c r="B103" t="inlineStr">
        <is>
          <t>Wednesday, 13 May</t>
        </is>
      </c>
      <c r="D103" t="inlineStr">
        <is>
          <t>FBGIU LAD_RBI__BK_Caribbean Intl Food Franchises NV_Simphony_</t>
        </is>
      </c>
      <c r="E103" t="inlineStr">
        <is>
          <t>5/9/26 - 5/15/26</t>
        </is>
      </c>
      <c r="F103" t="inlineStr">
        <is>
          <t>1.01.01 - Labor-Billable Cost</t>
        </is>
      </c>
      <c r="H103" t="inlineStr">
        <is>
          <t>AE110007829</t>
        </is>
      </c>
      <c r="J103" t="n">
        <v>1</v>
      </c>
      <c r="K103" t="inlineStr">
        <is>
          <t>LABOR</t>
        </is>
      </c>
      <c r="L103" t="inlineStr">
        <is>
          <t>400361134</t>
        </is>
      </c>
      <c r="N103" t="n">
        <v>4</v>
      </c>
      <c r="O103" s="2" t="n">
        <v>0</v>
      </c>
      <c r="P103" s="2">
        <f>N103*O103</f>
        <v/>
      </c>
    </row>
    <row r="104">
      <c r="J104" t="n">
        <v>2</v>
      </c>
      <c r="K104" t="inlineStr">
        <is>
          <t>Expense</t>
        </is>
      </c>
      <c r="O104" s="2" t="n">
        <v>0</v>
      </c>
      <c r="P104" s="2">
        <f>N104*O104</f>
        <v/>
      </c>
    </row>
    <row r="105">
      <c r="B105" t="inlineStr">
        <is>
          <t>Thursday, 14 May</t>
        </is>
      </c>
      <c r="D105" t="inlineStr">
        <is>
          <t>FBGIU LAD_RBI__BK_Caribbean Intl Food Franchises NV_Simphony_</t>
        </is>
      </c>
      <c r="E105" t="inlineStr">
        <is>
          <t>5/9/26 - 5/15/26</t>
        </is>
      </c>
      <c r="F105" t="inlineStr">
        <is>
          <t>1.01.01 - Labor-Billable Cost</t>
        </is>
      </c>
      <c r="H105" t="inlineStr">
        <is>
          <t>AE110007829</t>
        </is>
      </c>
      <c r="J105" t="n">
        <v>1</v>
      </c>
      <c r="K105" t="inlineStr">
        <is>
          <t>LABOR</t>
        </is>
      </c>
      <c r="L105" t="inlineStr">
        <is>
          <t>400361134</t>
        </is>
      </c>
      <c r="N105" t="n">
        <v>4</v>
      </c>
      <c r="O105" s="2" t="n">
        <v>0</v>
      </c>
      <c r="P105" s="2">
        <f>N105*O105</f>
        <v/>
      </c>
    </row>
    <row r="106">
      <c r="J106" t="n">
        <v>2</v>
      </c>
      <c r="K106" t="inlineStr">
        <is>
          <t>Expense</t>
        </is>
      </c>
      <c r="O106" s="2" t="n">
        <v>0</v>
      </c>
      <c r="P106" s="2">
        <f>N106*O106</f>
        <v/>
      </c>
    </row>
    <row r="107">
      <c r="B107" t="inlineStr">
        <is>
          <t>Monday, 11 May</t>
        </is>
      </c>
      <c r="D107" t="inlineStr">
        <is>
          <t>FBGIU NA Areas Configuration IT2 / A8Q4R5</t>
        </is>
      </c>
      <c r="E107" t="inlineStr">
        <is>
          <t>5/9/26 - 5/15/26</t>
        </is>
      </c>
      <c r="F107" t="inlineStr">
        <is>
          <t>1.01.01 - Labor-Billable Cost</t>
        </is>
      </c>
      <c r="H107" t="inlineStr">
        <is>
          <t>AE110007829</t>
        </is>
      </c>
      <c r="J107" t="n">
        <v>1</v>
      </c>
      <c r="K107" t="inlineStr">
        <is>
          <t>LABOR</t>
        </is>
      </c>
      <c r="L107" t="inlineStr">
        <is>
          <t>400389469</t>
        </is>
      </c>
      <c r="N107" t="n">
        <v>8</v>
      </c>
      <c r="O107" s="2" t="n">
        <v>0</v>
      </c>
      <c r="P107" s="2">
        <f>N107*O107</f>
        <v/>
      </c>
    </row>
    <row r="108">
      <c r="J108" t="n">
        <v>2</v>
      </c>
      <c r="K108" t="inlineStr">
        <is>
          <t>Expense</t>
        </is>
      </c>
      <c r="O108" s="2" t="n">
        <v>0</v>
      </c>
      <c r="P108" s="2">
        <f>N108*O108</f>
        <v/>
      </c>
    </row>
    <row r="109">
      <c r="B109" t="inlineStr">
        <is>
          <t>Tuesday, 12 May</t>
        </is>
      </c>
      <c r="D109" t="inlineStr">
        <is>
          <t>FBGIU NA Areas Configuration IT2 / A8Q4R5</t>
        </is>
      </c>
      <c r="E109" t="inlineStr">
        <is>
          <t>5/9/26 - 5/15/26</t>
        </is>
      </c>
      <c r="F109" t="inlineStr">
        <is>
          <t>1.01.01 - Labor-Billable Cost</t>
        </is>
      </c>
      <c r="H109" t="inlineStr">
        <is>
          <t>AE110007829</t>
        </is>
      </c>
      <c r="J109" t="n">
        <v>1</v>
      </c>
      <c r="K109" t="inlineStr">
        <is>
          <t>LABOR</t>
        </is>
      </c>
      <c r="L109" t="inlineStr">
        <is>
          <t>400389469</t>
        </is>
      </c>
      <c r="N109" t="n">
        <v>8</v>
      </c>
      <c r="O109" s="2" t="n">
        <v>0</v>
      </c>
      <c r="P109" s="2">
        <f>N109*O109</f>
        <v/>
      </c>
    </row>
    <row r="110">
      <c r="J110" t="n">
        <v>2</v>
      </c>
      <c r="K110" t="inlineStr">
        <is>
          <t>Expense</t>
        </is>
      </c>
      <c r="O110" s="2" t="n">
        <v>0</v>
      </c>
      <c r="P110" s="2">
        <f>N110*O110</f>
        <v/>
      </c>
    </row>
    <row r="111">
      <c r="B111" t="inlineStr">
        <is>
          <t>Wednesday, 13 May</t>
        </is>
      </c>
      <c r="D111" t="inlineStr">
        <is>
          <t>FBGIU NA Areas Configuration IT2 / A8Q4R5</t>
        </is>
      </c>
      <c r="E111" t="inlineStr">
        <is>
          <t>5/9/26 - 5/15/26</t>
        </is>
      </c>
      <c r="F111" t="inlineStr">
        <is>
          <t>1.01.01 - Labor-Billable Cost</t>
        </is>
      </c>
      <c r="H111" t="inlineStr">
        <is>
          <t>AE110007829</t>
        </is>
      </c>
      <c r="J111" t="n">
        <v>1</v>
      </c>
      <c r="K111" t="inlineStr">
        <is>
          <t>LABOR</t>
        </is>
      </c>
      <c r="L111" t="inlineStr">
        <is>
          <t>400389469</t>
        </is>
      </c>
      <c r="N111" t="n">
        <v>8</v>
      </c>
      <c r="O111" s="2" t="n">
        <v>0</v>
      </c>
      <c r="P111" s="2">
        <f>N111*O111</f>
        <v/>
      </c>
    </row>
    <row r="112">
      <c r="J112" t="n">
        <v>2</v>
      </c>
      <c r="K112" t="inlineStr">
        <is>
          <t>Expense</t>
        </is>
      </c>
      <c r="O112" s="2" t="n">
        <v>0</v>
      </c>
      <c r="P112" s="2">
        <f>N112*O112</f>
        <v/>
      </c>
    </row>
    <row r="113">
      <c r="B113" t="inlineStr">
        <is>
          <t>Thursday, 14 May</t>
        </is>
      </c>
      <c r="D113" t="inlineStr">
        <is>
          <t>FBGIU NA Areas Configuration IT2 / A8Q4R5</t>
        </is>
      </c>
      <c r="E113" t="inlineStr">
        <is>
          <t>5/9/26 - 5/15/26</t>
        </is>
      </c>
      <c r="F113" t="inlineStr">
        <is>
          <t>1.01.01 - Labor-Billable Cost</t>
        </is>
      </c>
      <c r="H113" t="inlineStr">
        <is>
          <t>AE110007829</t>
        </is>
      </c>
      <c r="J113" t="n">
        <v>1</v>
      </c>
      <c r="K113" t="inlineStr">
        <is>
          <t>LABOR</t>
        </is>
      </c>
      <c r="L113" t="inlineStr">
        <is>
          <t>400389469</t>
        </is>
      </c>
      <c r="N113" t="n">
        <v>8</v>
      </c>
      <c r="O113" s="2" t="n">
        <v>0</v>
      </c>
      <c r="P113" s="2">
        <f>N113*O113</f>
        <v/>
      </c>
    </row>
    <row r="114">
      <c r="J114" t="n">
        <v>2</v>
      </c>
      <c r="K114" t="inlineStr">
        <is>
          <t>Expense</t>
        </is>
      </c>
      <c r="O114" s="2" t="n">
        <v>0</v>
      </c>
      <c r="P114" s="2">
        <f>N114*O114</f>
        <v/>
      </c>
    </row>
    <row r="115">
      <c r="B115" t="inlineStr">
        <is>
          <t>Friday, 15 May</t>
        </is>
      </c>
      <c r="D115" t="inlineStr">
        <is>
          <t>FBGIU NA Areas Configuration IT2 / A8Q4R5</t>
        </is>
      </c>
      <c r="E115" t="inlineStr">
        <is>
          <t>5/9/26 - 5/15/26</t>
        </is>
      </c>
      <c r="F115" t="inlineStr">
        <is>
          <t>1.01.01 - Labor-Billable Cost</t>
        </is>
      </c>
      <c r="H115" t="inlineStr">
        <is>
          <t>AE110007829</t>
        </is>
      </c>
      <c r="J115" t="n">
        <v>1</v>
      </c>
      <c r="K115" t="inlineStr">
        <is>
          <t>LABOR</t>
        </is>
      </c>
      <c r="L115" t="inlineStr">
        <is>
          <t>400389469</t>
        </is>
      </c>
      <c r="N115" t="n">
        <v>8</v>
      </c>
      <c r="O115" s="2" t="n">
        <v>0</v>
      </c>
      <c r="P115" s="2">
        <f>N115*O115</f>
        <v/>
      </c>
    </row>
    <row r="116">
      <c r="J116" t="n">
        <v>2</v>
      </c>
      <c r="K116" t="inlineStr">
        <is>
          <t>Expense</t>
        </is>
      </c>
      <c r="O116" s="2" t="n">
        <v>0</v>
      </c>
      <c r="P116" s="2">
        <f>N116*O116</f>
        <v/>
      </c>
    </row>
    <row r="117">
      <c r="B117" t="inlineStr">
        <is>
          <t>Monday, 11 May</t>
        </is>
      </c>
      <c r="D117" t="inlineStr">
        <is>
          <t>FBGIU-EMEA_Micros South Africa Pty Ltd_Protea Hotel Wanderers_</t>
        </is>
      </c>
      <c r="E117" t="inlineStr">
        <is>
          <t>5/9/26 - 5/15/26</t>
        </is>
      </c>
      <c r="F117" t="inlineStr">
        <is>
          <t>1.01.01 - Labor-Billable Cost</t>
        </is>
      </c>
      <c r="H117" t="inlineStr">
        <is>
          <t>AE110007829</t>
        </is>
      </c>
      <c r="J117" t="n">
        <v>1</v>
      </c>
      <c r="K117" t="inlineStr">
        <is>
          <t>LABOR</t>
        </is>
      </c>
      <c r="L117" t="inlineStr">
        <is>
          <t>400407702</t>
        </is>
      </c>
      <c r="N117" t="n">
        <v>4</v>
      </c>
      <c r="O117" s="2" t="n">
        <v>0</v>
      </c>
      <c r="P117" s="2">
        <f>N117*O117</f>
        <v/>
      </c>
    </row>
    <row r="118">
      <c r="J118" t="n">
        <v>2</v>
      </c>
      <c r="K118" t="inlineStr">
        <is>
          <t>Expense</t>
        </is>
      </c>
      <c r="O118" s="2" t="n">
        <v>0</v>
      </c>
      <c r="P118" s="2">
        <f>N118*O118</f>
        <v/>
      </c>
    </row>
    <row r="119">
      <c r="B119" t="inlineStr">
        <is>
          <t>Thursday, 14 May</t>
        </is>
      </c>
      <c r="D119" t="inlineStr">
        <is>
          <t>FBGIU &gt;46788722 Vienna House Eisenach</t>
        </is>
      </c>
      <c r="E119" t="inlineStr">
        <is>
          <t>5/9/26 - 5/15/26</t>
        </is>
      </c>
      <c r="F119" t="inlineStr">
        <is>
          <t>1.F&amp;B POS Implement Cloud - B88107</t>
        </is>
      </c>
      <c r="H119" t="inlineStr">
        <is>
          <t>AE110007829</t>
        </is>
      </c>
      <c r="J119" t="n">
        <v>1</v>
      </c>
      <c r="K119" t="inlineStr">
        <is>
          <t>LABOR</t>
        </is>
      </c>
      <c r="L119" t="inlineStr">
        <is>
          <t>400413401</t>
        </is>
      </c>
      <c r="N119" t="n">
        <v>8</v>
      </c>
      <c r="O119" s="2" t="n">
        <v>0</v>
      </c>
      <c r="P119" s="2">
        <f>N119*O119</f>
        <v/>
      </c>
    </row>
    <row r="120">
      <c r="J120" t="n">
        <v>2</v>
      </c>
      <c r="K120" t="inlineStr">
        <is>
          <t>Expense</t>
        </is>
      </c>
      <c r="O120" s="2" t="n">
        <v>0</v>
      </c>
      <c r="P120" s="2">
        <f>N120*O120</f>
        <v/>
      </c>
    </row>
    <row r="121">
      <c r="B121" t="inlineStr">
        <is>
          <t>Monday, 29 Jun</t>
        </is>
      </c>
      <c r="D121" t="inlineStr">
        <is>
          <t>HLGIU_NA_Marriott OPERA Cloud deployment</t>
        </is>
      </c>
      <c r="E121" t="inlineStr">
        <is>
          <t>6/27/26 - 7/3/26</t>
        </is>
      </c>
      <c r="F121" t="inlineStr">
        <is>
          <t>Reporting - Reporting</t>
        </is>
      </c>
      <c r="H121" t="inlineStr">
        <is>
          <t>AE110007829</t>
        </is>
      </c>
      <c r="J121" t="n">
        <v>1</v>
      </c>
      <c r="K121" t="inlineStr">
        <is>
          <t>LABOR</t>
        </is>
      </c>
      <c r="L121" t="inlineStr">
        <is>
          <t>555555555555</t>
        </is>
      </c>
      <c r="N121" t="n">
        <v>8</v>
      </c>
      <c r="O121" s="2" t="n">
        <v>0</v>
      </c>
      <c r="P121" s="2">
        <f>N121*O121</f>
        <v/>
      </c>
    </row>
    <row r="122">
      <c r="J122" t="n">
        <v>2</v>
      </c>
      <c r="K122" t="inlineStr">
        <is>
          <t>Expense</t>
        </is>
      </c>
      <c r="O122" s="2" t="n">
        <v>0</v>
      </c>
      <c r="P122" s="2">
        <f>N122*O122</f>
        <v/>
      </c>
    </row>
    <row r="123">
      <c r="B123" t="inlineStr">
        <is>
          <t>Tuesday, 30 Jun</t>
        </is>
      </c>
      <c r="D123" t="inlineStr">
        <is>
          <t>HLGIU_NA_Marriott OPERA Cloud deployment</t>
        </is>
      </c>
      <c r="E123" t="inlineStr">
        <is>
          <t>6/27/26 - 7/3/26</t>
        </is>
      </c>
      <c r="F123" t="inlineStr">
        <is>
          <t>Reporting - Reporting</t>
        </is>
      </c>
      <c r="H123" t="inlineStr">
        <is>
          <t>AE110007829</t>
        </is>
      </c>
      <c r="J123" t="n">
        <v>1</v>
      </c>
      <c r="K123" t="inlineStr">
        <is>
          <t>LABOR</t>
        </is>
      </c>
      <c r="L123" t="inlineStr">
        <is>
          <t>555555555555</t>
        </is>
      </c>
      <c r="N123" t="n">
        <v>8</v>
      </c>
      <c r="O123" s="2" t="n">
        <v>0</v>
      </c>
      <c r="P123" s="2">
        <f>N123*O123</f>
        <v/>
      </c>
    </row>
    <row r="124">
      <c r="J124" t="n">
        <v>2</v>
      </c>
      <c r="K124" t="inlineStr">
        <is>
          <t>Expense</t>
        </is>
      </c>
      <c r="O124" s="2" t="n">
        <v>0</v>
      </c>
      <c r="P124" s="2">
        <f>N124*O124</f>
        <v/>
      </c>
    </row>
    <row r="125">
      <c r="B125" t="inlineStr">
        <is>
          <t>Wednesday, 01 Jul</t>
        </is>
      </c>
      <c r="D125" t="inlineStr">
        <is>
          <t>HLGIU_NA_Marriott OPERA Cloud deployment</t>
        </is>
      </c>
      <c r="E125" t="inlineStr">
        <is>
          <t>6/27/26 - 7/3/26</t>
        </is>
      </c>
      <c r="F125" t="inlineStr">
        <is>
          <t>Reporting - Reporting</t>
        </is>
      </c>
      <c r="H125" t="inlineStr">
        <is>
          <t>AE110007829</t>
        </is>
      </c>
      <c r="J125" t="n">
        <v>1</v>
      </c>
      <c r="K125" t="inlineStr">
        <is>
          <t>LABOR</t>
        </is>
      </c>
      <c r="L125" t="inlineStr">
        <is>
          <t>555555555555</t>
        </is>
      </c>
      <c r="N125" t="n">
        <v>8</v>
      </c>
      <c r="O125" s="2" t="n">
        <v>0</v>
      </c>
      <c r="P125" s="2">
        <f>N125*O125</f>
        <v/>
      </c>
    </row>
    <row r="126">
      <c r="J126" t="n">
        <v>2</v>
      </c>
      <c r="K126" t="inlineStr">
        <is>
          <t>Expense</t>
        </is>
      </c>
      <c r="O126" s="2" t="n">
        <v>0</v>
      </c>
      <c r="P126" s="2">
        <f>N126*O126</f>
        <v/>
      </c>
    </row>
    <row r="127">
      <c r="B127" t="inlineStr">
        <is>
          <t>Friday, 03 Jul</t>
        </is>
      </c>
      <c r="D127" t="inlineStr">
        <is>
          <t>HLGIU_NA_Marriott OPERA Cloud deployment</t>
        </is>
      </c>
      <c r="E127" t="inlineStr">
        <is>
          <t>6/27/26 - 7/3/26</t>
        </is>
      </c>
      <c r="F127" t="inlineStr">
        <is>
          <t>Reporting - Reporting</t>
        </is>
      </c>
      <c r="H127" t="inlineStr">
        <is>
          <t>AE110007829</t>
        </is>
      </c>
      <c r="J127" t="n">
        <v>1</v>
      </c>
      <c r="K127" t="inlineStr">
        <is>
          <t>LABOR</t>
        </is>
      </c>
      <c r="L127" t="inlineStr">
        <is>
          <t>555555555555</t>
        </is>
      </c>
      <c r="N127" t="n">
        <v>8</v>
      </c>
      <c r="O127" s="2" t="n">
        <v>0</v>
      </c>
      <c r="P127" s="2">
        <f>N127*O127</f>
        <v/>
      </c>
    </row>
    <row r="128">
      <c r="J128" t="n">
        <v>2</v>
      </c>
      <c r="K128" t="inlineStr">
        <is>
          <t>Expense</t>
        </is>
      </c>
      <c r="O128" s="2" t="n">
        <v>0</v>
      </c>
      <c r="P128" s="2">
        <f>N128*O128</f>
        <v/>
      </c>
    </row>
    <row r="129">
      <c r="L129" t="inlineStr">
        <is>
          <t>Total LABOR</t>
        </is>
      </c>
      <c r="N129">
        <f>SUBTOTAL(109,Table4[Qty])</f>
        <v/>
      </c>
      <c r="P129" s="2">
        <f>SUMIF(Table4[Type],"LABOR",Table4[Total Amount])</f>
        <v/>
      </c>
    </row>
    <row r="130">
      <c r="L130" t="inlineStr">
        <is>
          <t>Total EXPENSE</t>
        </is>
      </c>
      <c r="P130" s="2">
        <f>SUMIF(Table4[Type],"Expense",Table4[Total Amount])</f>
        <v/>
      </c>
    </row>
    <row r="131">
      <c r="L131" t="inlineStr">
        <is>
          <t xml:space="preserve">Invoice Total </t>
        </is>
      </c>
      <c r="P131" s="2">
        <f>P129+P130</f>
        <v/>
      </c>
    </row>
    <row r="132">
      <c r="M132" t="inlineStr">
        <is>
          <t>VAT</t>
        </is>
      </c>
      <c r="P132" s="2">
        <f>P131*0.05</f>
        <v/>
      </c>
    </row>
    <row r="133">
      <c r="M133" t="inlineStr">
        <is>
          <t>Total with VAT</t>
        </is>
      </c>
      <c r="P133" s="2">
        <f>P131+P132</f>
        <v/>
      </c>
    </row>
  </sheetData>
  <mergeCells count="1">
    <mergeCell ref="B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2026-07-25T18:43:55Z</dcterms:created>
  <dcterms:modified xmlns:dcterms="http://purl.org/dc/terms/" xmlns:xsi="http://www.w3.org/2001/XMLSchema-instance" xsi:type="dcterms:W3CDTF">2026-07-25T18:43:55Z</dcterms:modified>
</cp:coreProperties>
</file>